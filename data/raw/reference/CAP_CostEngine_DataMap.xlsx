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EX" sheetId="1" state="visible" r:id="rId1"/>
    <sheet xmlns:r="http://schemas.openxmlformats.org/officeDocument/2006/relationships" name="S1_Asset" sheetId="2" state="visible" r:id="rId2"/>
    <sheet xmlns:r="http://schemas.openxmlformats.org/officeDocument/2006/relationships" name="S2_Production" sheetId="3" state="visible" r:id="rId3"/>
    <sheet xmlns:r="http://schemas.openxmlformats.org/officeDocument/2006/relationships" name="S3_CAPEX" sheetId="4" state="visible" r:id="rId4"/>
    <sheet xmlns:r="http://schemas.openxmlformats.org/officeDocument/2006/relationships" name="S4_OPEX_Energy" sheetId="5" state="visible" r:id="rId5"/>
    <sheet xmlns:r="http://schemas.openxmlformats.org/officeDocument/2006/relationships" name="S5_Linkage" sheetId="6" state="visible" r:id="rId6"/>
    <sheet xmlns:r="http://schemas.openxmlformats.org/officeDocument/2006/relationships" name="DATA_GAP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595959"/>
      <sz val="10"/>
    </font>
    <font>
      <name val="Calibri"/>
      <b val="1"/>
      <color rgb="00FFFFFF"/>
      <sz val="10"/>
    </font>
    <font>
      <name val="Calibri"/>
      <b val="1"/>
      <color rgb="00000000"/>
      <sz val="10"/>
    </font>
    <font>
      <name val="Calibri"/>
      <color rgb="00000000"/>
      <sz val="10"/>
    </font>
    <font>
      <name val="Calibri"/>
      <b val="1"/>
      <color rgb="00FFFFFF"/>
      <sz val="11"/>
    </font>
  </fonts>
  <fills count="11">
    <fill>
      <patternFill/>
    </fill>
    <fill>
      <patternFill patternType="gray125"/>
    </fill>
    <fill>
      <patternFill patternType="solid">
        <fgColor rgb="0017375E"/>
      </patternFill>
    </fill>
    <fill>
      <patternFill patternType="solid">
        <fgColor rgb="00F2F2F2"/>
      </patternFill>
    </fill>
    <fill>
      <patternFill patternType="solid">
        <fgColor rgb="00FFFF00"/>
      </patternFill>
    </fill>
    <fill>
      <patternFill patternType="solid">
        <fgColor rgb="00FFC7CE"/>
      </patternFill>
    </fill>
    <fill>
      <patternFill patternType="solid">
        <fgColor rgb="004472C4"/>
      </patternFill>
    </fill>
    <fill>
      <patternFill patternType="solid">
        <fgColor rgb="00C00000"/>
      </patternFill>
    </fill>
    <fill>
      <patternFill patternType="solid">
        <fgColor rgb="00C6EFCE"/>
      </patternFill>
    </fill>
    <fill>
      <patternFill patternType="solid">
        <fgColor rgb="00305496"/>
      </patternFill>
    </fill>
    <fill>
      <patternFill patternType="solid">
        <fgColor rgb="00FFDCA8"/>
      </patternFill>
    </fill>
  </fills>
  <borders count="7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/>
      <right/>
      <top style="thin">
        <color rgb="00D9D9D9"/>
      </top>
      <bottom/>
      <diagonal/>
    </border>
    <border>
      <left/>
      <right style="thin">
        <color rgb="00D9D9D9"/>
      </right>
      <top style="thin">
        <color rgb="00D9D9D9"/>
      </top>
      <bottom/>
      <diagonal/>
    </border>
    <border>
      <left/>
      <right/>
      <top style="thin">
        <color rgb="00D9D9D9"/>
      </top>
      <bottom style="thin">
        <color rgb="00D9D9D9"/>
      </bottom>
      <diagonal/>
    </border>
    <border>
      <left/>
      <right style="thin">
        <color rgb="00D9D9D9"/>
      </right>
      <top style="thin">
        <color rgb="00D9D9D9"/>
      </top>
      <bottom style="thin">
        <color rgb="00D9D9D9"/>
      </bottom>
      <diagonal/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left" vertical="center" wrapText="1"/>
    </xf>
    <xf numFmtId="0" fontId="5" fillId="0" borderId="2" applyAlignment="1" pivotButton="0" quotePrefix="0" xfId="0">
      <alignment horizontal="left" vertical="center" wrapText="1"/>
    </xf>
    <xf numFmtId="0" fontId="4" fillId="4" borderId="2" applyAlignment="1" pivotButton="0" quotePrefix="0" xfId="0">
      <alignment horizontal="left" vertical="center" wrapText="1"/>
    </xf>
    <xf numFmtId="0" fontId="5" fillId="4" borderId="2" applyAlignment="1" pivotButton="0" quotePrefix="0" xfId="0">
      <alignment horizontal="left" vertical="center" wrapText="1"/>
    </xf>
    <xf numFmtId="0" fontId="4" fillId="5" borderId="2" applyAlignment="1" pivotButton="0" quotePrefix="0" xfId="0">
      <alignment horizontal="left" vertical="center" wrapText="1"/>
    </xf>
    <xf numFmtId="0" fontId="5" fillId="5" borderId="2" applyAlignment="1" pivotButton="0" quotePrefix="0" xfId="0">
      <alignment horizontal="left" vertical="center" wrapText="1"/>
    </xf>
    <xf numFmtId="0" fontId="6" fillId="6" borderId="0" applyAlignment="1" pivotButton="0" quotePrefix="0" xfId="0">
      <alignment horizontal="left" vertical="center"/>
    </xf>
    <xf numFmtId="0" fontId="5" fillId="0" borderId="2" applyAlignment="1" pivotButton="0" quotePrefix="0" xfId="0">
      <alignment horizontal="left" vertical="center"/>
    </xf>
    <xf numFmtId="0" fontId="5" fillId="4" borderId="2" applyAlignment="1" pivotButton="0" quotePrefix="0" xfId="0">
      <alignment horizontal="left" vertical="center"/>
    </xf>
    <xf numFmtId="0" fontId="2" fillId="0" borderId="2" applyAlignment="1" pivotButton="0" quotePrefix="0" xfId="0">
      <alignment horizontal="left" vertical="center" wrapText="1"/>
    </xf>
    <xf numFmtId="0" fontId="0" fillId="0" borderId="5" pivotButton="0" quotePrefix="0" xfId="0"/>
    <xf numFmtId="0" fontId="0" fillId="0" borderId="6" pivotButton="0" quotePrefix="0" xfId="0"/>
    <xf numFmtId="0" fontId="5" fillId="0" borderId="2" applyAlignment="1" pivotButton="0" quotePrefix="0" xfId="0">
      <alignment horizontal="right" vertical="center"/>
    </xf>
    <xf numFmtId="0" fontId="3" fillId="7" borderId="0" applyAlignment="1" pivotButton="0" quotePrefix="0" xfId="0">
      <alignment horizontal="left" vertical="center"/>
    </xf>
    <xf numFmtId="0" fontId="5" fillId="8" borderId="2" applyAlignment="1" pivotButton="0" quotePrefix="0" xfId="0">
      <alignment horizontal="left" vertical="center"/>
    </xf>
    <xf numFmtId="0" fontId="5" fillId="8" borderId="2" applyAlignment="1" pivotButton="0" quotePrefix="0" xfId="0">
      <alignment horizontal="left" vertical="center" wrapText="1"/>
    </xf>
    <xf numFmtId="0" fontId="6" fillId="9" borderId="0" applyAlignment="1" pivotButton="0" quotePrefix="0" xfId="0">
      <alignment horizontal="left" vertical="center"/>
    </xf>
    <xf numFmtId="0" fontId="5" fillId="10" borderId="2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28" customWidth="1" min="2" max="2"/>
    <col width="40" customWidth="1" min="3" max="3"/>
    <col width="16" customWidth="1" min="4" max="4"/>
    <col width="24" customWidth="1" min="5" max="5"/>
    <col width="14" customWidth="1" min="6" max="6"/>
    <col width="24" customWidth="1" min="7" max="7"/>
  </cols>
  <sheetData>
    <row r="1" ht="40" customHeight="1">
      <c r="A1" s="1" t="inlineStr">
        <is>
          <t>CAP — 비용엔진 데이터 연계 맵 (CAP_CostEngine_DataMap.xlsx)</t>
        </is>
      </c>
    </row>
    <row r="2" ht="20" customHeight="1">
      <c r="A2" s="2" t="inlineStr">
        <is>
          <t>생성: 2026-06-29  |  CAPEX·OPEX → 타 프로젝트 참조  |  CSV 링크: data/raw/</t>
        </is>
      </c>
    </row>
    <row r="4" ht="32" customHeight="1">
      <c r="A4" s="3" t="inlineStr">
        <is>
          <t>시트</t>
        </is>
      </c>
      <c r="B4" s="3" t="inlineStr">
        <is>
          <t>내용</t>
        </is>
      </c>
      <c r="C4" s="3" t="inlineStr">
        <is>
          <t>CSV 파일 링크</t>
        </is>
      </c>
      <c r="D4" s="3" t="inlineStr">
        <is>
          <t>데이터 코드</t>
        </is>
      </c>
      <c r="E4" s="3" t="inlineStr">
        <is>
          <t>상태</t>
        </is>
      </c>
      <c r="F4" s="3" t="inlineStr">
        <is>
          <t>BLOCKER?</t>
        </is>
      </c>
      <c r="G4" s="3" t="inlineStr">
        <is>
          <t>비고</t>
        </is>
      </c>
    </row>
    <row r="5">
      <c r="A5" s="4" t="inlineStr">
        <is>
          <t>S1_Asset</t>
        </is>
      </c>
      <c r="B5" s="5" t="inlineStr">
        <is>
          <t>고로 시설·자산 데이터</t>
        </is>
      </c>
      <c r="C5" s="5" t="inlineStr">
        <is>
          <t>data/raw/assets/assets_blast_furnace.csv</t>
        </is>
      </c>
      <c r="D5" s="5" t="inlineStr">
        <is>
          <t>D7</t>
        </is>
      </c>
      <c r="E5" s="5" t="inlineStr">
        <is>
          <t>부분 (재라이닝 일정 불확실)</t>
        </is>
      </c>
      <c r="F5" s="5" t="inlineStr">
        <is>
          <t>아니오</t>
        </is>
      </c>
      <c r="G5" s="5" t="inlineStr">
        <is>
          <t>A05 JFE [VERIFY]</t>
        </is>
      </c>
    </row>
    <row r="6">
      <c r="A6" s="4" t="inlineStr">
        <is>
          <t>S2_Production</t>
        </is>
      </c>
      <c r="B6" s="5" t="inlineStr">
        <is>
          <t>기업 연간 조강 생산량</t>
        </is>
      </c>
      <c r="C6" s="5" t="inlineStr">
        <is>
          <t>data/raw/production/company_production.csv</t>
        </is>
      </c>
      <c r="D6" s="5" t="inlineStr">
        <is>
          <t>D7 부분</t>
        </is>
      </c>
      <c r="E6" s="5" t="inlineStr">
        <is>
          <t>MEDIUM</t>
        </is>
      </c>
      <c r="F6" s="5" t="inlineStr">
        <is>
          <t>아니오</t>
        </is>
      </c>
      <c r="G6" s="5" t="inlineStr">
        <is>
          <t>worldsteel 2021-2024</t>
        </is>
      </c>
    </row>
    <row r="7">
      <c r="A7" s="4" t="inlineStr">
        <is>
          <t>S3_CAPEX</t>
        </is>
      </c>
      <c r="B7" s="5" t="inlineStr">
        <is>
          <t>H2-DRI-EAF CAPEX (타 프로젝트 참조)</t>
        </is>
      </c>
      <c r="C7" s="5" t="inlineStr">
        <is>
          <t>data/raw/capex_refs/capex_h2dri_references.csv</t>
        </is>
      </c>
      <c r="D7" s="5" t="inlineStr">
        <is>
          <t>D5,D6</t>
        </is>
      </c>
      <c r="E7" s="5" t="inlineStr">
        <is>
          <t>MEDIUM (범위 확보)</t>
        </is>
      </c>
      <c r="F7" s="5" t="inlineStr">
        <is>
          <t>아니오</t>
        </is>
      </c>
      <c r="G7" s="5" t="inlineStr">
        <is>
          <t>DIW, LBL, SPARK</t>
        </is>
      </c>
    </row>
    <row r="8">
      <c r="A8" s="6" t="inlineStr">
        <is>
          <t>S4_OPEX_Energy</t>
        </is>
      </c>
      <c r="B8" s="7" t="inlineStr">
        <is>
          <t>OPEX 에너지비용 (타 프로젝트 참조)</t>
        </is>
      </c>
      <c r="C8" s="7" t="inlineStr">
        <is>
          <t>data/raw/opex_energy/intensity_coefficients.csv
data/raw/opex_energy/price_parameters.csv</t>
        </is>
      </c>
      <c r="D8" s="7" t="inlineStr">
        <is>
          <t>D2,D3,D4,D8</t>
        </is>
      </c>
      <c r="E8" s="7" t="inlineStr">
        <is>
          <t>D2=LOW</t>
        </is>
      </c>
      <c r="F8" s="7" t="inlineStr">
        <is>
          <t>아니오</t>
        </is>
      </c>
      <c r="G8" s="7" t="inlineStr">
        <is>
          <t>σ_H2 LOW → 저자 요청 필요</t>
        </is>
      </c>
    </row>
    <row r="9">
      <c r="A9" s="4" t="inlineStr">
        <is>
          <t>S5_Linkage</t>
        </is>
      </c>
      <c r="B9" s="5" t="inlineStr">
        <is>
          <t>데이터 연계 &amp; K_inc·ΔOPEX 계산</t>
        </is>
      </c>
      <c r="C9" s="5" t="inlineStr">
        <is>
          <t>(파생 계산)</t>
        </is>
      </c>
      <c r="D9" s="5" t="inlineStr">
        <is>
          <t>D2-D9 all</t>
        </is>
      </c>
      <c r="E9" s="5" t="inlineStr">
        <is>
          <t>파생</t>
        </is>
      </c>
      <c r="F9" s="5" t="inlineStr">
        <is>
          <t>D1 없으면 T_i^GCAM 미정</t>
        </is>
      </c>
      <c r="G9" s="5" t="inlineStr">
        <is>
          <t>핵심 연계 시트</t>
        </is>
      </c>
    </row>
    <row r="10">
      <c r="A10" s="8" t="inlineStr">
        <is>
          <t>DATA_GAP</t>
        </is>
      </c>
      <c r="B10" s="9" t="inlineStr">
        <is>
          <t>데이터 갭 현황 &amp; 획득 경로</t>
        </is>
      </c>
      <c r="C10" s="9" t="inlineStr">
        <is>
          <t>—</t>
        </is>
      </c>
      <c r="D10" s="9" t="inlineStr">
        <is>
          <t>all</t>
        </is>
      </c>
      <c r="E10" s="9" t="inlineStr">
        <is>
          <t>추적용</t>
        </is>
      </c>
      <c r="F10" s="9" t="inlineStr">
        <is>
          <t>D1 = BLOCKER</t>
        </is>
      </c>
      <c r="G10" s="9" t="inlineStr">
        <is>
          <t>G01~G05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9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7" customWidth="1" min="1" max="1"/>
    <col width="14" customWidth="1" min="2" max="2"/>
    <col width="6" customWidth="1" min="3" max="3"/>
    <col width="14" customWidth="1" min="4" max="4"/>
    <col width="6" customWidth="1" min="5" max="5"/>
    <col width="8" customWidth="1" min="6" max="6"/>
    <col width="8" customWidth="1" min="7" max="7"/>
    <col width="7" customWidth="1" min="8" max="8"/>
    <col width="10" customWidth="1" min="9" max="9"/>
    <col width="10" customWidth="1" min="10" max="10"/>
    <col width="9" customWidth="1" min="11" max="11"/>
    <col width="12" customWidth="1" min="12" max="12"/>
    <col width="28" customWidth="1" min="13" max="13"/>
    <col width="26" customWidth="1" min="14" max="14"/>
  </cols>
  <sheetData>
    <row r="1" ht="28" customHeight="1">
      <c r="A1" s="10" t="inlineStr">
        <is>
          <t>S1: 고로 시설·자산 데이터  |  CSV: data/raw/assets/assets_blast_furnace.csv  |  소스: ACCR, DART, EDINET</t>
        </is>
      </c>
    </row>
    <row r="2" ht="40" customHeight="1">
      <c r="A2" s="3" t="inlineStr">
        <is>
          <t>자산 ID</t>
        </is>
      </c>
      <c r="B2" s="3" t="inlineStr">
        <is>
          <t>회사</t>
        </is>
      </c>
      <c r="C2" s="3" t="inlineStr">
        <is>
          <t>국가</t>
        </is>
      </c>
      <c r="D2" s="3" t="inlineStr">
        <is>
          <t>시설명</t>
        </is>
      </c>
      <c r="E2" s="3" t="inlineStr">
        <is>
          <t>BF</t>
        </is>
      </c>
      <c r="F2" s="3" t="inlineStr">
        <is>
          <t>용량
(Mt/yr)</t>
        </is>
      </c>
      <c r="G2" s="3" t="inlineStr">
        <is>
          <t>조강
(Mt/yr)</t>
        </is>
      </c>
      <c r="H2" s="3" t="inlineStr">
        <is>
          <t>가동
시작</t>
        </is>
      </c>
      <c r="I2" s="3" t="inlineStr">
        <is>
          <t>마지막
재라이닝</t>
        </is>
      </c>
      <c r="J2" s="3" t="inlineStr">
        <is>
          <t>다음
재라이닝</t>
        </is>
      </c>
      <c r="K2" s="3" t="inlineStr">
        <is>
          <t>잔여
수명(yr)</t>
        </is>
      </c>
      <c r="L2" s="3" t="inlineStr">
        <is>
          <t>배출집약도
(tCO2/t)</t>
        </is>
      </c>
      <c r="M2" s="3" t="inlineStr">
        <is>
          <t>비고</t>
        </is>
      </c>
      <c r="N2" s="3" t="inlineStr">
        <is>
          <t>데이터 소스</t>
        </is>
      </c>
    </row>
    <row r="3">
      <c r="A3" s="11" t="inlineStr">
        <is>
          <t>A01</t>
        </is>
      </c>
      <c r="B3" s="11" t="inlineStr">
        <is>
          <t>POSCO</t>
        </is>
      </c>
      <c r="C3" s="11" t="inlineStr">
        <is>
          <t>KR</t>
        </is>
      </c>
      <c r="D3" s="11" t="inlineStr">
        <is>
          <t>광양 Gwangyang</t>
        </is>
      </c>
      <c r="E3" s="11" t="inlineStr">
        <is>
          <t>BF5</t>
        </is>
      </c>
      <c r="F3" s="11" t="inlineStr">
        <is>
          <t>4.5</t>
        </is>
      </c>
      <c r="G3" s="11" t="inlineStr">
        <is>
          <t>4.2</t>
        </is>
      </c>
      <c r="H3" s="11" t="inlineStr">
        <is>
          <t>2007</t>
        </is>
      </c>
      <c r="I3" s="11" t="inlineStr">
        <is>
          <t>2022</t>
        </is>
      </c>
      <c r="J3" s="11" t="inlineStr">
        <is>
          <t>2037</t>
        </is>
      </c>
      <c r="K3" s="11" t="inlineStr">
        <is>
          <t>11</t>
        </is>
      </c>
      <c r="L3" s="11" t="inlineStr">
        <is>
          <t>2.1</t>
        </is>
      </c>
      <c r="M3" s="5" t="inlineStr">
        <is>
          <t>대형로; 재라이닝 ~2037</t>
        </is>
      </c>
      <c r="N3" s="5" t="inlineStr">
        <is>
          <t>POSCO DART, CDP, ACCR</t>
        </is>
      </c>
    </row>
    <row r="4">
      <c r="A4" s="11" t="inlineStr">
        <is>
          <t>A02</t>
        </is>
      </c>
      <c r="B4" s="11" t="inlineStr">
        <is>
          <t>POSCO</t>
        </is>
      </c>
      <c r="C4" s="11" t="inlineStr">
        <is>
          <t>KR</t>
        </is>
      </c>
      <c r="D4" s="11" t="inlineStr">
        <is>
          <t>광양 Gwangyang</t>
        </is>
      </c>
      <c r="E4" s="11" t="inlineStr">
        <is>
          <t>BF3</t>
        </is>
      </c>
      <c r="F4" s="11" t="inlineStr">
        <is>
          <t>3.8</t>
        </is>
      </c>
      <c r="G4" s="11" t="inlineStr">
        <is>
          <t>3.5</t>
        </is>
      </c>
      <c r="H4" s="11" t="inlineStr">
        <is>
          <t>2000</t>
        </is>
      </c>
      <c r="I4" s="11" t="inlineStr">
        <is>
          <t>2018</t>
        </is>
      </c>
      <c r="J4" s="11" t="inlineStr">
        <is>
          <t>2033</t>
        </is>
      </c>
      <c r="K4" s="11" t="inlineStr">
        <is>
          <t>7</t>
        </is>
      </c>
      <c r="L4" s="11" t="inlineStr">
        <is>
          <t>2.0</t>
        </is>
      </c>
      <c r="M4" s="5" t="inlineStr">
        <is>
          <t>조기 행사 후보 ~2033</t>
        </is>
      </c>
      <c r="N4" s="5" t="inlineStr">
        <is>
          <t>POSCO DART, ACCR</t>
        </is>
      </c>
    </row>
    <row r="5">
      <c r="A5" s="11" t="inlineStr">
        <is>
          <t>A03</t>
        </is>
      </c>
      <c r="B5" s="11" t="inlineStr">
        <is>
          <t>현대제철</t>
        </is>
      </c>
      <c r="C5" s="11" t="inlineStr">
        <is>
          <t>KR</t>
        </is>
      </c>
      <c r="D5" s="11" t="inlineStr">
        <is>
          <t>당진 Dangjin</t>
        </is>
      </c>
      <c r="E5" s="11" t="inlineStr">
        <is>
          <t>BF1</t>
        </is>
      </c>
      <c r="F5" s="11" t="inlineStr">
        <is>
          <t>4.0</t>
        </is>
      </c>
      <c r="G5" s="11" t="inlineStr">
        <is>
          <t>3.8</t>
        </is>
      </c>
      <c r="H5" s="11" t="inlineStr">
        <is>
          <t>2010</t>
        </is>
      </c>
      <c r="I5" s="11" t="inlineStr">
        <is>
          <t>2025</t>
        </is>
      </c>
      <c r="J5" s="11" t="inlineStr">
        <is>
          <t>2040</t>
        </is>
      </c>
      <c r="K5" s="11" t="inlineStr">
        <is>
          <t>14</t>
        </is>
      </c>
      <c r="L5" s="11" t="inlineStr">
        <is>
          <t>2.1</t>
        </is>
      </c>
      <c r="M5" s="5" t="inlineStr">
        <is>
          <t>BF2 통합 운영</t>
        </is>
      </c>
      <c r="N5" s="5" t="inlineStr">
        <is>
          <t>현대 DART, CDP</t>
        </is>
      </c>
    </row>
    <row r="6">
      <c r="A6" s="11" t="inlineStr">
        <is>
          <t>A04</t>
        </is>
      </c>
      <c r="B6" s="11" t="inlineStr">
        <is>
          <t>Nippon Steel</t>
        </is>
      </c>
      <c r="C6" s="11" t="inlineStr">
        <is>
          <t>JP</t>
        </is>
      </c>
      <c r="D6" s="11" t="inlineStr">
        <is>
          <t>Oita</t>
        </is>
      </c>
      <c r="E6" s="11" t="inlineStr">
        <is>
          <t>BF1</t>
        </is>
      </c>
      <c r="F6" s="11" t="inlineStr">
        <is>
          <t>5.5</t>
        </is>
      </c>
      <c r="G6" s="11" t="inlineStr">
        <is>
          <t>5.2</t>
        </is>
      </c>
      <c r="H6" s="11" t="inlineStr">
        <is>
          <t>2004</t>
        </is>
      </c>
      <c r="I6" s="11" t="inlineStr">
        <is>
          <t>2019</t>
        </is>
      </c>
      <c r="J6" s="11" t="inlineStr">
        <is>
          <t>2034</t>
        </is>
      </c>
      <c r="K6" s="11" t="inlineStr">
        <is>
          <t>8</t>
        </is>
      </c>
      <c r="L6" s="11" t="inlineStr">
        <is>
          <t>1.9</t>
        </is>
      </c>
      <c r="M6" s="5" t="inlineStr">
        <is>
          <t>재라이닝 근거리</t>
        </is>
      </c>
      <c r="N6" s="5" t="inlineStr">
        <is>
          <t>EDINET FY2024, ACCR</t>
        </is>
      </c>
    </row>
    <row r="7">
      <c r="A7" s="12" t="inlineStr">
        <is>
          <t>A05</t>
        </is>
      </c>
      <c r="B7" s="12" t="inlineStr">
        <is>
          <t>JFE Steel</t>
        </is>
      </c>
      <c r="C7" s="12" t="inlineStr">
        <is>
          <t>JP</t>
        </is>
      </c>
      <c r="D7" s="12" t="inlineStr">
        <is>
          <t>Keihin</t>
        </is>
      </c>
      <c r="E7" s="12" t="inlineStr">
        <is>
          <t>BF1</t>
        </is>
      </c>
      <c r="F7" s="12" t="inlineStr">
        <is>
          <t>4.8</t>
        </is>
      </c>
      <c r="G7" s="12" t="inlineStr">
        <is>
          <t>4.5</t>
        </is>
      </c>
      <c r="H7" s="12" t="inlineStr">
        <is>
          <t>2006</t>
        </is>
      </c>
      <c r="I7" s="12" t="inlineStr">
        <is>
          <t>2021</t>
        </is>
      </c>
      <c r="J7" s="12" t="inlineStr">
        <is>
          <t>2036</t>
        </is>
      </c>
      <c r="K7" s="12" t="inlineStr">
        <is>
          <t>10</t>
        </is>
      </c>
      <c r="L7" s="12" t="inlineStr">
        <is>
          <t>2.0</t>
        </is>
      </c>
      <c r="M7" s="7" t="inlineStr">
        <is>
          <t>FY2025 EDINET 미확인 [VERIFY]</t>
        </is>
      </c>
      <c r="N7" s="7" t="inlineStr">
        <is>
          <t>EDINET FY2024 (잠정)</t>
        </is>
      </c>
    </row>
    <row r="9">
      <c r="A9" s="13" t="inlineStr">
        <is>
          <t>※ 재라이닝 일정: ACCR 2024 Asian Steel Watch + 회사 공시. JFE FY2025 = 미확인.</t>
        </is>
      </c>
      <c r="B9" s="14" t="n"/>
      <c r="C9" s="14" t="n"/>
      <c r="D9" s="14" t="n"/>
      <c r="E9" s="14" t="n"/>
      <c r="F9" s="14" t="n"/>
      <c r="G9" s="14" t="n"/>
      <c r="H9" s="14" t="n"/>
      <c r="I9" s="14" t="n"/>
      <c r="J9" s="14" t="n"/>
      <c r="K9" s="14" t="n"/>
      <c r="L9" s="14" t="n"/>
      <c r="M9" s="14" t="n"/>
      <c r="N9" s="15" t="n"/>
    </row>
  </sheetData>
  <mergeCells count="2">
    <mergeCell ref="A9:N9"/>
    <mergeCell ref="A1:N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16" customWidth="1" min="2" max="2"/>
    <col width="6" customWidth="1" min="3" max="3"/>
    <col width="10" customWidth="1" min="4" max="4"/>
    <col width="10" customWidth="1" min="5" max="5"/>
    <col width="10" customWidth="1" min="6" max="6"/>
    <col width="10" customWidth="1" min="7" max="7"/>
  </cols>
  <sheetData>
    <row r="1" ht="28" customHeight="1">
      <c r="A1" s="10" t="inlineStr">
        <is>
          <t>S2: 기업 연간 조강 생산량  |  CSV: data/raw/production/company_production.csv  |  소스: worldsteel 2024</t>
        </is>
      </c>
    </row>
    <row r="2" ht="32" customHeight="1">
      <c r="A2" s="3" t="inlineStr">
        <is>
          <t>회사 ID</t>
        </is>
      </c>
      <c r="B2" s="3" t="inlineStr">
        <is>
          <t>회사</t>
        </is>
      </c>
      <c r="C2" s="3" t="inlineStr">
        <is>
          <t>국가</t>
        </is>
      </c>
      <c r="D2" s="3" t="inlineStr">
        <is>
          <t>2021 (Mt)</t>
        </is>
      </c>
      <c r="E2" s="3" t="inlineStr">
        <is>
          <t>2022 (Mt)</t>
        </is>
      </c>
      <c r="F2" s="3" t="inlineStr">
        <is>
          <t>2023 (Mt)</t>
        </is>
      </c>
      <c r="G2" s="3" t="inlineStr">
        <is>
          <t>2024 (Mt)</t>
        </is>
      </c>
    </row>
    <row r="3">
      <c r="A3" s="11" t="inlineStr">
        <is>
          <t>C01</t>
        </is>
      </c>
      <c r="B3" s="11" t="inlineStr">
        <is>
          <t>POSCO</t>
        </is>
      </c>
      <c r="C3" s="11" t="inlineStr">
        <is>
          <t>KR</t>
        </is>
      </c>
      <c r="D3" s="16" t="inlineStr">
        <is>
          <t>38.4</t>
        </is>
      </c>
      <c r="E3" s="16" t="inlineStr">
        <is>
          <t>37.2</t>
        </is>
      </c>
      <c r="F3" s="16" t="inlineStr">
        <is>
          <t>36.1</t>
        </is>
      </c>
      <c r="G3" s="16" t="inlineStr">
        <is>
          <t>35.8</t>
        </is>
      </c>
    </row>
    <row r="4">
      <c r="A4" s="11" t="inlineStr">
        <is>
          <t>C02</t>
        </is>
      </c>
      <c r="B4" s="11" t="inlineStr">
        <is>
          <t>현대제철</t>
        </is>
      </c>
      <c r="C4" s="11" t="inlineStr">
        <is>
          <t>KR</t>
        </is>
      </c>
      <c r="D4" s="16" t="inlineStr">
        <is>
          <t>21.9</t>
        </is>
      </c>
      <c r="E4" s="16" t="inlineStr">
        <is>
          <t>21.3</t>
        </is>
      </c>
      <c r="F4" s="16" t="inlineStr">
        <is>
          <t>20.8</t>
        </is>
      </c>
      <c r="G4" s="16" t="inlineStr">
        <is>
          <t>20.5</t>
        </is>
      </c>
    </row>
    <row r="5">
      <c r="A5" s="11" t="inlineStr">
        <is>
          <t>C03</t>
        </is>
      </c>
      <c r="B5" s="11" t="inlineStr">
        <is>
          <t>Nippon Steel</t>
        </is>
      </c>
      <c r="C5" s="11" t="inlineStr">
        <is>
          <t>JP</t>
        </is>
      </c>
      <c r="D5" s="16" t="inlineStr">
        <is>
          <t>43.1</t>
        </is>
      </c>
      <c r="E5" s="16" t="inlineStr">
        <is>
          <t>40.1</t>
        </is>
      </c>
      <c r="F5" s="16" t="inlineStr">
        <is>
          <t>38.7</t>
        </is>
      </c>
      <c r="G5" s="16" t="inlineStr">
        <is>
          <t>37.6</t>
        </is>
      </c>
    </row>
    <row r="6">
      <c r="A6" s="11" t="inlineStr">
        <is>
          <t>C04</t>
        </is>
      </c>
      <c r="B6" s="11" t="inlineStr">
        <is>
          <t>JFE Steel</t>
        </is>
      </c>
      <c r="C6" s="11" t="inlineStr">
        <is>
          <t>JP</t>
        </is>
      </c>
      <c r="D6" s="16" t="inlineStr">
        <is>
          <t>29.3</t>
        </is>
      </c>
      <c r="E6" s="16" t="inlineStr">
        <is>
          <t>27.5</t>
        </is>
      </c>
      <c r="F6" s="16" t="inlineStr">
        <is>
          <t>26.1</t>
        </is>
      </c>
      <c r="G6" s="16" t="inlineStr">
        <is>
          <t>25.8</t>
        </is>
      </c>
    </row>
    <row r="7">
      <c r="A7" s="11" t="inlineStr">
        <is>
          <t>C05</t>
        </is>
      </c>
      <c r="B7" s="11" t="inlineStr">
        <is>
          <t>Kobe Steel</t>
        </is>
      </c>
      <c r="C7" s="11" t="inlineStr">
        <is>
          <t>JP</t>
        </is>
      </c>
      <c r="D7" s="16" t="inlineStr">
        <is>
          <t>6.1</t>
        </is>
      </c>
      <c r="E7" s="16" t="inlineStr">
        <is>
          <t>5.8</t>
        </is>
      </c>
      <c r="F7" s="16" t="inlineStr">
        <is>
          <t>5.5</t>
        </is>
      </c>
      <c r="G7" s="16" t="inlineStr">
        <is>
          <t>5.4</t>
        </is>
      </c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28" customWidth="1" min="2" max="2"/>
    <col width="14" customWidth="1" min="3" max="3"/>
    <col width="10" customWidth="1" min="4" max="4"/>
    <col width="10" customWidth="1" min="5" max="5"/>
    <col width="10" customWidth="1" min="6" max="6"/>
    <col width="8" customWidth="1" min="7" max="7"/>
    <col width="8" customWidth="1" min="8" max="8"/>
    <col width="28" customWidth="1" min="9" max="9"/>
    <col width="20" customWidth="1" min="10" max="10"/>
  </cols>
  <sheetData>
    <row r="1" ht="28" customHeight="1">
      <c r="A1" s="10" t="inlineStr">
        <is>
          <t>S3: H2-DRI-EAF CAPEX (타 프로젝트 참조)  |  CSV: data/raw/capex_refs/capex_h2dri_references.csv</t>
        </is>
      </c>
    </row>
    <row r="2" ht="24" customHeight="1">
      <c r="A2" s="17" t="inlineStr">
        <is>
          <t>⚠ 타 프로젝트(SPARK/문헌)에서 파생. 원본 업데이트 시 동기화 필요.</t>
        </is>
      </c>
    </row>
    <row r="3" ht="36" customHeight="1">
      <c r="A3" s="3" t="inlineStr">
        <is>
          <t>ID</t>
        </is>
      </c>
      <c r="B3" s="3" t="inlineStr">
        <is>
          <t>비용 항목</t>
        </is>
      </c>
      <c r="C3" s="3" t="inlineStr">
        <is>
          <t>단위</t>
        </is>
      </c>
      <c r="D3" s="3" t="inlineStr">
        <is>
          <t>최솟값</t>
        </is>
      </c>
      <c r="E3" s="3" t="inlineStr">
        <is>
          <t>중간값</t>
        </is>
      </c>
      <c r="F3" s="3" t="inlineStr">
        <is>
          <t>최댓값</t>
        </is>
      </c>
      <c r="G3" s="3" t="inlineStr">
        <is>
          <t>기준연도</t>
        </is>
      </c>
      <c r="H3" s="3" t="inlineStr">
        <is>
          <t>학습률</t>
        </is>
      </c>
      <c r="I3" s="3" t="inlineStr">
        <is>
          <t>출처/참조</t>
        </is>
      </c>
      <c r="J3" s="3" t="inlineStr">
        <is>
          <t>비고</t>
        </is>
      </c>
    </row>
    <row r="4">
      <c r="A4" s="11" t="inlineStr">
        <is>
          <t>K01</t>
        </is>
      </c>
      <c r="B4" s="5" t="inlineStr">
        <is>
          <t>H2-DRI shaft (전해조 제외)</t>
        </is>
      </c>
      <c r="C4" s="11" t="inlineStr">
        <is>
          <t>USD/t_cap_DRI</t>
        </is>
      </c>
      <c r="D4" s="11" t="inlineStr">
        <is>
          <t>420</t>
        </is>
      </c>
      <c r="E4" s="11" t="inlineStr">
        <is>
          <t>530</t>
        </is>
      </c>
      <c r="F4" s="11" t="inlineStr">
        <is>
          <t>640</t>
        </is>
      </c>
      <c r="G4" s="11" t="inlineStr">
        <is>
          <t>2025</t>
        </is>
      </c>
      <c r="H4" s="11" t="inlineStr">
        <is>
          <t>8%</t>
        </is>
      </c>
      <c r="I4" s="5" t="inlineStr">
        <is>
          <t>SPARK / DIW DP2082</t>
        </is>
      </c>
      <c r="J4" s="5" t="inlineStr">
        <is>
          <t>Nuber 2022</t>
        </is>
      </c>
    </row>
    <row r="5">
      <c r="A5" s="11" t="inlineStr">
        <is>
          <t>K02</t>
        </is>
      </c>
      <c r="B5" s="5" t="inlineStr">
        <is>
          <t>전해조 Electrolyzer</t>
        </is>
      </c>
      <c r="C5" s="11" t="inlineStr">
        <is>
          <t>USD/kW</t>
        </is>
      </c>
      <c r="D5" s="11" t="inlineStr">
        <is>
          <t>600</t>
        </is>
      </c>
      <c r="E5" s="11" t="inlineStr">
        <is>
          <t>700</t>
        </is>
      </c>
      <c r="F5" s="11" t="inlineStr">
        <is>
          <t>900</t>
        </is>
      </c>
      <c r="G5" s="11" t="inlineStr">
        <is>
          <t>2025</t>
        </is>
      </c>
      <c r="H5" s="11" t="inlineStr">
        <is>
          <t>15%</t>
        </is>
      </c>
      <c r="I5" s="5" t="inlineStr">
        <is>
          <t>SPARK / IRENA 2023</t>
        </is>
      </c>
      <c r="J5" s="5" t="inlineStr">
        <is>
          <t>학습률 높음</t>
        </is>
      </c>
    </row>
    <row r="6">
      <c r="A6" s="11" t="inlineStr">
        <is>
          <t>K03</t>
        </is>
      </c>
      <c r="B6" s="5" t="inlineStr">
        <is>
          <t>EAF</t>
        </is>
      </c>
      <c r="C6" s="11" t="inlineStr">
        <is>
          <t>USD/t_cap_steel</t>
        </is>
      </c>
      <c r="D6" s="11" t="inlineStr">
        <is>
          <t>100</t>
        </is>
      </c>
      <c r="E6" s="11" t="inlineStr">
        <is>
          <t>120</t>
        </is>
      </c>
      <c r="F6" s="11" t="inlineStr">
        <is>
          <t>150</t>
        </is>
      </c>
      <c r="G6" s="11" t="inlineStr">
        <is>
          <t>2025</t>
        </is>
      </c>
      <c r="H6" s="11" t="inlineStr">
        <is>
          <t>3%</t>
        </is>
      </c>
      <c r="I6" s="5" t="inlineStr">
        <is>
          <t>SPARK / World Steel</t>
        </is>
      </c>
      <c r="J6" s="5" t="inlineStr">
        <is>
          <t>성숙 기술</t>
        </is>
      </c>
    </row>
    <row r="7">
      <c r="A7" s="11" t="inlineStr">
        <is>
          <t>K04</t>
        </is>
      </c>
      <c r="B7" s="5" t="inlineStr">
        <is>
          <t>BOS + 부지 공사</t>
        </is>
      </c>
      <c r="C7" s="11" t="inlineStr">
        <is>
          <t>USD/t_cap_steel</t>
        </is>
      </c>
      <c r="D7" s="11" t="inlineStr">
        <is>
          <t>60</t>
        </is>
      </c>
      <c r="E7" s="11" t="inlineStr">
        <is>
          <t>80</t>
        </is>
      </c>
      <c r="F7" s="11" t="inlineStr">
        <is>
          <t>100</t>
        </is>
      </c>
      <c r="G7" s="11" t="inlineStr">
        <is>
          <t>2025</t>
        </is>
      </c>
      <c r="H7" s="11" t="inlineStr">
        <is>
          <t>2%</t>
        </is>
      </c>
      <c r="I7" s="5" t="inlineStr">
        <is>
          <t>SPARK / LBL</t>
        </is>
      </c>
      <c r="J7" s="5" t="inlineStr">
        <is>
          <t>보조 항목</t>
        </is>
      </c>
    </row>
    <row r="8">
      <c r="A8" s="11" t="inlineStr">
        <is>
          <t>K05</t>
        </is>
      </c>
      <c r="B8" s="5" t="inlineStr">
        <is>
          <t>H2 저장·공급 인프라</t>
        </is>
      </c>
      <c r="C8" s="11" t="inlineStr">
        <is>
          <t>USD/t_cap_steel</t>
        </is>
      </c>
      <c r="D8" s="11" t="inlineStr">
        <is>
          <t>40</t>
        </is>
      </c>
      <c r="E8" s="11" t="inlineStr">
        <is>
          <t>60</t>
        </is>
      </c>
      <c r="F8" s="11" t="inlineStr">
        <is>
          <t>90</t>
        </is>
      </c>
      <c r="G8" s="11" t="inlineStr">
        <is>
          <t>2025</t>
        </is>
      </c>
      <c r="H8" s="11" t="inlineStr">
        <is>
          <t>5%</t>
        </is>
      </c>
      <c r="I8" s="5" t="inlineStr">
        <is>
          <t>SPARK / S&amp;P Global</t>
        </is>
      </c>
      <c r="J8" s="5" t="inlineStr">
        <is>
          <t>입지 의존</t>
        </is>
      </c>
    </row>
    <row r="9">
      <c r="A9" s="18" t="inlineStr">
        <is>
          <t>K06</t>
        </is>
      </c>
      <c r="B9" s="19" t="inlineStr">
        <is>
          <t>K_build (전해조 포함)</t>
        </is>
      </c>
      <c r="C9" s="18" t="inlineStr">
        <is>
          <t>USD/t_cap_steel</t>
        </is>
      </c>
      <c r="D9" s="18" t="inlineStr">
        <is>
          <t>720</t>
        </is>
      </c>
      <c r="E9" s="18" t="inlineStr">
        <is>
          <t>830</t>
        </is>
      </c>
      <c r="F9" s="18" t="inlineStr">
        <is>
          <t>1060</t>
        </is>
      </c>
      <c r="G9" s="18" t="inlineStr">
        <is>
          <t>2025</t>
        </is>
      </c>
      <c r="H9" s="18" t="inlineStr">
        <is>
          <t>—</t>
        </is>
      </c>
      <c r="I9" s="19">
        <f>K01+K02+K03+K04+K05</f>
        <v/>
      </c>
      <c r="J9" s="19" t="inlineStr">
        <is>
          <t>계산값</t>
        </is>
      </c>
    </row>
    <row r="10">
      <c r="A10" s="11" t="inlineStr">
        <is>
          <t>K07</t>
        </is>
      </c>
      <c r="B10" s="5" t="inlineStr">
        <is>
          <t>K_build (외부 H2 조달)</t>
        </is>
      </c>
      <c r="C10" s="11" t="inlineStr">
        <is>
          <t>USD/t_cap_steel</t>
        </is>
      </c>
      <c r="D10" s="11" t="inlineStr">
        <is>
          <t>620</t>
        </is>
      </c>
      <c r="E10" s="11" t="inlineStr">
        <is>
          <t>700</t>
        </is>
      </c>
      <c r="F10" s="11" t="inlineStr">
        <is>
          <t>830</t>
        </is>
      </c>
      <c r="G10" s="11" t="inlineStr">
        <is>
          <t>2025</t>
        </is>
      </c>
      <c r="H10" s="11" t="inlineStr">
        <is>
          <t>—</t>
        </is>
      </c>
      <c r="I10" s="5">
        <f>K01+K03+K04+K05</f>
        <v/>
      </c>
      <c r="J10" s="5" t="inlineStr">
        <is>
          <t>기본 케이스</t>
        </is>
      </c>
    </row>
    <row r="11">
      <c r="A11" s="11" t="inlineStr">
        <is>
          <t>K08</t>
        </is>
      </c>
      <c r="B11" s="5" t="inlineStr">
        <is>
          <t>BF 재라이닝 회피비용</t>
        </is>
      </c>
      <c r="C11" s="11" t="inlineStr">
        <is>
          <t>USD/t_cap_steel</t>
        </is>
      </c>
      <c r="D11" s="11" t="inlineStr">
        <is>
          <t>170</t>
        </is>
      </c>
      <c r="E11" s="11" t="inlineStr">
        <is>
          <t>200</t>
        </is>
      </c>
      <c r="F11" s="11" t="inlineStr">
        <is>
          <t>240</t>
        </is>
      </c>
      <c r="G11" s="11" t="inlineStr">
        <is>
          <t>2025</t>
        </is>
      </c>
      <c r="H11" s="11" t="inlineStr">
        <is>
          <t>n/a</t>
        </is>
      </c>
      <c r="I11" s="5" t="inlineStr">
        <is>
          <t>ACCR / US Steel Gary BF14</t>
        </is>
      </c>
      <c r="J11" s="5" t="inlineStr">
        <is>
          <t>재라이닝 크레딧</t>
        </is>
      </c>
    </row>
    <row r="12">
      <c r="A12" s="11" t="inlineStr">
        <is>
          <t>K09</t>
        </is>
      </c>
      <c r="B12" s="5" t="inlineStr">
        <is>
          <t>재라이닝 생산손실 기회비용</t>
        </is>
      </c>
      <c r="C12" s="11" t="inlineStr">
        <is>
          <t>USD/t_steel</t>
        </is>
      </c>
      <c r="D12" s="11" t="inlineStr">
        <is>
          <t>20</t>
        </is>
      </c>
      <c r="E12" s="11" t="inlineStr">
        <is>
          <t>30</t>
        </is>
      </c>
      <c r="F12" s="11" t="inlineStr">
        <is>
          <t>40</t>
        </is>
      </c>
      <c r="G12" s="11" t="inlineStr">
        <is>
          <t>2025</t>
        </is>
      </c>
      <c r="H12" s="11" t="inlineStr">
        <is>
          <t>n/a</t>
        </is>
      </c>
      <c r="I12" s="5" t="inlineStr">
        <is>
          <t>Yellishetty 2019</t>
        </is>
      </c>
      <c r="J12" s="5" t="inlineStr">
        <is>
          <t>30-60일 다운타임</t>
        </is>
      </c>
    </row>
    <row r="13">
      <c r="A13" s="18" t="inlineStr">
        <is>
          <t>K10</t>
        </is>
      </c>
      <c r="B13" s="19" t="inlineStr">
        <is>
          <t>K_avoided = K08+K09</t>
        </is>
      </c>
      <c r="C13" s="18" t="inlineStr">
        <is>
          <t>USD/t_cap_steel</t>
        </is>
      </c>
      <c r="D13" s="18" t="inlineStr">
        <is>
          <t>190</t>
        </is>
      </c>
      <c r="E13" s="18" t="inlineStr">
        <is>
          <t>230</t>
        </is>
      </c>
      <c r="F13" s="18" t="inlineStr">
        <is>
          <t>280</t>
        </is>
      </c>
      <c r="G13" s="18" t="inlineStr">
        <is>
          <t>2025</t>
        </is>
      </c>
      <c r="H13" s="18" t="inlineStr">
        <is>
          <t>—</t>
        </is>
      </c>
      <c r="I13" s="19">
        <f>K08+K09</f>
        <v/>
      </c>
      <c r="J13" s="19" t="inlineStr">
        <is>
          <t>계산값</t>
        </is>
      </c>
    </row>
    <row r="14">
      <c r="A14" s="11" t="inlineStr">
        <is>
          <t>K11</t>
        </is>
      </c>
      <c r="B14" s="5" t="inlineStr">
        <is>
          <t>K_inc (재라이닝 시점)</t>
        </is>
      </c>
      <c r="C14" s="11" t="inlineStr">
        <is>
          <t>USD/t_cap_steel</t>
        </is>
      </c>
      <c r="D14" s="11" t="inlineStr">
        <is>
          <t>340</t>
        </is>
      </c>
      <c r="E14" s="11" t="inlineStr">
        <is>
          <t>390</t>
        </is>
      </c>
      <c r="F14" s="11" t="inlineStr">
        <is>
          <t>550</t>
        </is>
      </c>
      <c r="G14" s="11" t="inlineStr">
        <is>
          <t>2025</t>
        </is>
      </c>
      <c r="H14" s="11" t="inlineStr">
        <is>
          <t>—</t>
        </is>
      </c>
      <c r="I14" s="5">
        <f>K07-K10</f>
        <v/>
      </c>
      <c r="J14" s="5" t="inlineStr">
        <is>
          <t>최적 행사점 ~$420</t>
        </is>
      </c>
    </row>
    <row r="15">
      <c r="A15" s="11" t="inlineStr">
        <is>
          <t>K12</t>
        </is>
      </c>
      <c r="B15" s="5" t="inlineStr">
        <is>
          <t>K_inc (off-cycle)</t>
        </is>
      </c>
      <c r="C15" s="11" t="inlineStr">
        <is>
          <t>USD/t_cap_steel</t>
        </is>
      </c>
      <c r="D15" s="11" t="inlineStr">
        <is>
          <t>620</t>
        </is>
      </c>
      <c r="E15" s="11" t="inlineStr">
        <is>
          <t>700</t>
        </is>
      </c>
      <c r="F15" s="11" t="inlineStr">
        <is>
          <t>830</t>
        </is>
      </c>
      <c r="G15" s="11" t="inlineStr">
        <is>
          <t>2025</t>
        </is>
      </c>
      <c r="H15" s="11" t="inlineStr">
        <is>
          <t>—</t>
        </is>
      </c>
      <c r="I15" s="5">
        <f>K07</f>
        <v/>
      </c>
      <c r="J15" s="5" t="inlineStr">
        <is>
          <t>최악 타이밍</t>
        </is>
      </c>
    </row>
  </sheetData>
  <mergeCells count="2">
    <mergeCell ref="A1:J1"/>
    <mergeCell ref="A2:J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22" customWidth="1" min="2" max="2"/>
    <col width="14" customWidth="1" min="3" max="3"/>
    <col width="10" customWidth="1" min="4" max="4"/>
    <col width="10" customWidth="1" min="5" max="5"/>
    <col width="10" customWidth="1" min="6" max="6"/>
    <col width="10" customWidth="1" min="7" max="7"/>
    <col width="20" customWidth="1" min="8" max="8"/>
    <col width="12" customWidth="1" min="9" max="9"/>
    <col width="10" customWidth="1" min="10" max="10"/>
  </cols>
  <sheetData>
    <row r="1" ht="28" customHeight="1">
      <c r="A1" s="10" t="inlineStr">
        <is>
          <t>S4: OPEX 에너지비용  |  CSV: data/raw/opex_energy/  |  코드: D2,D3,D4,D8</t>
        </is>
      </c>
    </row>
    <row r="2" ht="20" customHeight="1">
      <c r="A2" s="17" t="inlineStr">
        <is>
          <t>⚠ 가격(D2,D3,D4) → hub/data/ 링크. 기술 강도(D8) → SPARK/문헌. 직접 입력 금지.</t>
        </is>
      </c>
    </row>
    <row r="3" ht="20" customHeight="1">
      <c r="A3" s="20" t="inlineStr">
        <is>
          <t>Part A: 기술 강도 계수 (D8) — data/raw/opex_energy/intensity_coefficients.csv</t>
        </is>
      </c>
    </row>
    <row r="4" ht="36" customHeight="1">
      <c r="A4" s="3" t="inlineStr">
        <is>
          <t>ID</t>
        </is>
      </c>
      <c r="B4" s="3" t="inlineStr">
        <is>
          <t>기술</t>
        </is>
      </c>
      <c r="C4" s="3" t="inlineStr">
        <is>
          <t>투입재</t>
        </is>
      </c>
      <c r="D4" s="3" t="inlineStr">
        <is>
          <t>단위</t>
        </is>
      </c>
      <c r="E4" s="3" t="inlineStr">
        <is>
          <t>최솟값</t>
        </is>
      </c>
      <c r="F4" s="3" t="inlineStr">
        <is>
          <t>중간값</t>
        </is>
      </c>
      <c r="G4" s="3" t="inlineStr">
        <is>
          <t>최댓값</t>
        </is>
      </c>
      <c r="H4" s="3" t="inlineStr">
        <is>
          <t>출처</t>
        </is>
      </c>
      <c r="I4" s="3" t="inlineStr">
        <is>
          <t>주 상태변수</t>
        </is>
      </c>
      <c r="J4" s="3" t="inlineStr">
        <is>
          <t>비고</t>
        </is>
      </c>
    </row>
    <row r="5">
      <c r="A5" s="11" t="inlineStr">
        <is>
          <t>I01</t>
        </is>
      </c>
      <c r="B5" s="11" t="inlineStr">
        <is>
          <t>H2-DRI-EAF</t>
        </is>
      </c>
      <c r="C5" s="5" t="inlineStr">
        <is>
          <t>그린 수소</t>
        </is>
      </c>
      <c r="D5" s="11" t="inlineStr">
        <is>
          <t>kg H2/t조강</t>
        </is>
      </c>
      <c r="E5" s="11" t="inlineStr">
        <is>
          <t>55</t>
        </is>
      </c>
      <c r="F5" s="11" t="inlineStr">
        <is>
          <t>60</t>
        </is>
      </c>
      <c r="G5" s="11" t="inlineStr">
        <is>
          <t>65</t>
        </is>
      </c>
      <c r="H5" s="5" t="inlineStr">
        <is>
          <t>SPARK/Midrex 2023</t>
        </is>
      </c>
      <c r="I5" s="11" t="inlineStr">
        <is>
          <t>p_H2</t>
        </is>
      </c>
      <c r="J5" s="5" t="inlineStr">
        <is>
          <t>DR 효율 95%</t>
        </is>
      </c>
    </row>
    <row r="6">
      <c r="A6" s="11" t="inlineStr">
        <is>
          <t>I02</t>
        </is>
      </c>
      <c r="B6" s="11" t="inlineStr">
        <is>
          <t>H2-DRI-EAF</t>
        </is>
      </c>
      <c r="C6" s="5" t="inlineStr">
        <is>
          <t>전력 (외부 H2)</t>
        </is>
      </c>
      <c r="D6" s="11" t="inlineStr">
        <is>
          <t>MWh/t조강</t>
        </is>
      </c>
      <c r="E6" s="11" t="inlineStr">
        <is>
          <t>0.7</t>
        </is>
      </c>
      <c r="F6" s="11" t="inlineStr">
        <is>
          <t>0.8</t>
        </is>
      </c>
      <c r="G6" s="11" t="inlineStr">
        <is>
          <t>1.0</t>
        </is>
      </c>
      <c r="H6" s="5" t="inlineStr">
        <is>
          <t>SPARK/LBL</t>
        </is>
      </c>
      <c r="I6" s="11" t="inlineStr">
        <is>
          <t>p_elec</t>
        </is>
      </c>
      <c r="J6" s="5" t="inlineStr">
        <is>
          <t>EAF+보조</t>
        </is>
      </c>
    </row>
    <row r="7">
      <c r="A7" s="11" t="inlineStr">
        <is>
          <t>I03</t>
        </is>
      </c>
      <c r="B7" s="11" t="inlineStr">
        <is>
          <t>H2-DRI-EAF</t>
        </is>
      </c>
      <c r="C7" s="5" t="inlineStr">
        <is>
          <t>전력 (자가 전해조)</t>
        </is>
      </c>
      <c r="D7" s="11" t="inlineStr">
        <is>
          <t>MWh/t조강</t>
        </is>
      </c>
      <c r="E7" s="11" t="inlineStr">
        <is>
          <t>3.2</t>
        </is>
      </c>
      <c r="F7" s="11" t="inlineStr">
        <is>
          <t>3.6</t>
        </is>
      </c>
      <c r="G7" s="11" t="inlineStr">
        <is>
          <t>4.0</t>
        </is>
      </c>
      <c r="H7" s="5" t="inlineStr">
        <is>
          <t>SPARK/Lhyfe</t>
        </is>
      </c>
      <c r="I7" s="11" t="inlineStr">
        <is>
          <t>p_elec</t>
        </is>
      </c>
      <c r="J7" s="5" t="inlineStr">
        <is>
          <t>50-55kWh/kgH2</t>
        </is>
      </c>
    </row>
    <row r="8">
      <c r="A8" s="11" t="inlineStr">
        <is>
          <t>I04</t>
        </is>
      </c>
      <c r="B8" s="11" t="inlineStr">
        <is>
          <t>H2-DRI-EAF</t>
        </is>
      </c>
      <c r="C8" s="5" t="inlineStr">
        <is>
          <t>DR 펠릿</t>
        </is>
      </c>
      <c r="D8" s="11" t="inlineStr">
        <is>
          <t>t/t조강</t>
        </is>
      </c>
      <c r="E8" s="11" t="inlineStr">
        <is>
          <t>1.55</t>
        </is>
      </c>
      <c r="F8" s="11" t="inlineStr">
        <is>
          <t>1.62</t>
        </is>
      </c>
      <c r="G8" s="11" t="inlineStr">
        <is>
          <t>1.70</t>
        </is>
      </c>
      <c r="H8" s="5" t="inlineStr">
        <is>
          <t>SPARK/Midrex</t>
        </is>
      </c>
      <c r="I8" s="11" t="inlineStr">
        <is>
          <t>—</t>
        </is>
      </c>
      <c r="J8" s="5" t="inlineStr">
        <is>
          <t>Fe 96%</t>
        </is>
      </c>
    </row>
    <row r="9">
      <c r="A9" s="11" t="inlineStr">
        <is>
          <t>I06</t>
        </is>
      </c>
      <c r="B9" s="11" t="inlineStr">
        <is>
          <t>BF-BOF</t>
        </is>
      </c>
      <c r="C9" s="5" t="inlineStr">
        <is>
          <t>코킹콜 (회피)</t>
        </is>
      </c>
      <c r="D9" s="11" t="inlineStr">
        <is>
          <t>t/t조강</t>
        </is>
      </c>
      <c r="E9" s="11" t="inlineStr">
        <is>
          <t>0.60</t>
        </is>
      </c>
      <c r="F9" s="11" t="inlineStr">
        <is>
          <t>0.70</t>
        </is>
      </c>
      <c r="G9" s="11" t="inlineStr">
        <is>
          <t>0.80</t>
        </is>
      </c>
      <c r="H9" s="5" t="inlineStr">
        <is>
          <t>SPARK/IEA Coal</t>
        </is>
      </c>
      <c r="I9" s="11" t="inlineStr">
        <is>
          <t>p_coal</t>
        </is>
      </c>
      <c r="J9" s="5" t="inlineStr">
        <is>
          <t>ΔOPEX 호전</t>
        </is>
      </c>
    </row>
    <row r="10">
      <c r="A10" s="11" t="inlineStr">
        <is>
          <t>I09</t>
        </is>
      </c>
      <c r="B10" s="11" t="inlineStr">
        <is>
          <t>BF-BOF</t>
        </is>
      </c>
      <c r="C10" s="5" t="inlineStr">
        <is>
          <t>배출집약도</t>
        </is>
      </c>
      <c r="D10" s="11" t="inlineStr">
        <is>
          <t>tCO2/t조강</t>
        </is>
      </c>
      <c r="E10" s="11" t="inlineStr">
        <is>
          <t>1.8</t>
        </is>
      </c>
      <c r="F10" s="11" t="inlineStr">
        <is>
          <t>2.0</t>
        </is>
      </c>
      <c r="G10" s="11" t="inlineStr">
        <is>
          <t>2.2</t>
        </is>
      </c>
      <c r="H10" s="5" t="inlineStr">
        <is>
          <t>Nature Rev #204</t>
        </is>
      </c>
      <c r="I10" s="11" t="inlineStr">
        <is>
          <t>—</t>
        </is>
      </c>
      <c r="J10" s="5" t="inlineStr">
        <is>
          <t>Scope1+2</t>
        </is>
      </c>
    </row>
    <row r="11">
      <c r="A11" s="11" t="inlineStr">
        <is>
          <t>I10</t>
        </is>
      </c>
      <c r="B11" s="11" t="inlineStr">
        <is>
          <t>H2-DRI-EAF</t>
        </is>
      </c>
      <c r="C11" s="5" t="inlineStr">
        <is>
          <t>잔존 배출</t>
        </is>
      </c>
      <c r="D11" s="11" t="inlineStr">
        <is>
          <t>tCO2/t조강</t>
        </is>
      </c>
      <c r="E11" s="11" t="inlineStr">
        <is>
          <t>0.05</t>
        </is>
      </c>
      <c r="F11" s="11" t="inlineStr">
        <is>
          <t>0.10</t>
        </is>
      </c>
      <c r="G11" s="11" t="inlineStr">
        <is>
          <t>0.20</t>
        </is>
      </c>
      <c r="H11" s="5" t="inlineStr">
        <is>
          <t>SPARK/IEA ETP</t>
        </is>
      </c>
      <c r="I11" s="11" t="inlineStr">
        <is>
          <t>—</t>
        </is>
      </c>
      <c r="J11" s="5" t="inlineStr">
        <is>
          <t>전력탄소강도 의존</t>
        </is>
      </c>
    </row>
    <row r="13" ht="20" customHeight="1">
      <c r="A13" s="20" t="inlineStr">
        <is>
          <t>Part B: 가격 파라미터 (D2,D3,D4) — data/raw/opex_energy/price_parameters.csv</t>
        </is>
      </c>
    </row>
    <row r="14" ht="36" customHeight="1">
      <c r="A14" s="3" t="inlineStr">
        <is>
          <t>ID</t>
        </is>
      </c>
      <c r="B14" s="3" t="inlineStr">
        <is>
          <t>변수</t>
        </is>
      </c>
      <c r="C14" s="3" t="inlineStr">
        <is>
          <t>단위</t>
        </is>
      </c>
      <c r="D14" s="3" t="inlineStr">
        <is>
          <t>2026 base</t>
        </is>
      </c>
      <c r="E14" s="3" t="inlineStr">
        <is>
          <t>저시나리오</t>
        </is>
      </c>
      <c r="F14" s="3" t="inlineStr">
        <is>
          <t>고시나리오</t>
        </is>
      </c>
      <c r="G14" s="3" t="inlineStr">
        <is>
          <t>σ (%/yr)</t>
        </is>
      </c>
      <c r="H14" s="3" t="inlineStr">
        <is>
          <t>σ 신뢰도</t>
        </is>
      </c>
      <c r="I14" s="3" t="inlineStr">
        <is>
          <t>μ (추세)</t>
        </is>
      </c>
      <c r="J14" s="3" t="inlineStr">
        <is>
          <t>데이터코드</t>
        </is>
      </c>
    </row>
    <row r="15">
      <c r="A15" s="12" t="inlineStr">
        <is>
          <t>P01</t>
        </is>
      </c>
      <c r="B15" s="12" t="inlineStr">
        <is>
          <t>p_H2 그린수소</t>
        </is>
      </c>
      <c r="C15" s="12" t="inlineStr">
        <is>
          <t>USD/kg</t>
        </is>
      </c>
      <c r="D15" s="12" t="inlineStr">
        <is>
          <t>5.5</t>
        </is>
      </c>
      <c r="E15" s="12" t="inlineStr">
        <is>
          <t>3.0</t>
        </is>
      </c>
      <c r="F15" s="12" t="inlineStr">
        <is>
          <t>8.0</t>
        </is>
      </c>
      <c r="G15" s="12" t="inlineStr">
        <is>
          <t>25-35%</t>
        </is>
      </c>
      <c r="H15" s="12" t="inlineStr">
        <is>
          <t>LOW [G02]</t>
        </is>
      </c>
      <c r="I15" s="12" t="inlineStr">
        <is>
          <t>-4~-7%/yr</t>
        </is>
      </c>
      <c r="J15" s="12" t="inlineStr">
        <is>
          <t>D2</t>
        </is>
      </c>
    </row>
    <row r="16">
      <c r="A16" s="11" t="inlineStr">
        <is>
          <t>P02</t>
        </is>
      </c>
      <c r="B16" s="11" t="inlineStr">
        <is>
          <t>p_elec KR</t>
        </is>
      </c>
      <c r="C16" s="11" t="inlineStr">
        <is>
          <t>USD/MWh</t>
        </is>
      </c>
      <c r="D16" s="11" t="inlineStr">
        <is>
          <t>75</t>
        </is>
      </c>
      <c r="E16" s="11" t="inlineStr">
        <is>
          <t>60</t>
        </is>
      </c>
      <c r="F16" s="11" t="inlineStr">
        <is>
          <t>100</t>
        </is>
      </c>
      <c r="G16" s="11" t="inlineStr">
        <is>
          <t>15-20%</t>
        </is>
      </c>
      <c r="H16" s="11" t="inlineStr">
        <is>
          <t>MEDIUM</t>
        </is>
      </c>
      <c r="I16" s="11" t="inlineStr">
        <is>
          <t>-1~-2%/yr</t>
        </is>
      </c>
      <c r="J16" s="11" t="inlineStr">
        <is>
          <t>D3</t>
        </is>
      </c>
    </row>
    <row r="17">
      <c r="A17" s="11" t="inlineStr">
        <is>
          <t>P03</t>
        </is>
      </c>
      <c r="B17" s="11" t="inlineStr">
        <is>
          <t>p_elec JP</t>
        </is>
      </c>
      <c r="C17" s="11" t="inlineStr">
        <is>
          <t>USD/MWh</t>
        </is>
      </c>
      <c r="D17" s="11" t="inlineStr">
        <is>
          <t>95</t>
        </is>
      </c>
      <c r="E17" s="11" t="inlineStr">
        <is>
          <t>75</t>
        </is>
      </c>
      <c r="F17" s="11" t="inlineStr">
        <is>
          <t>130</t>
        </is>
      </c>
      <c r="G17" s="11" t="inlineStr">
        <is>
          <t>18-25%</t>
        </is>
      </c>
      <c r="H17" s="11" t="inlineStr">
        <is>
          <t>MEDIUM</t>
        </is>
      </c>
      <c r="I17" s="11" t="inlineStr">
        <is>
          <t>-1~-2%/yr</t>
        </is>
      </c>
      <c r="J17" s="11" t="inlineStr">
        <is>
          <t>D3</t>
        </is>
      </c>
    </row>
    <row r="18">
      <c r="A18" s="11" t="inlineStr">
        <is>
          <t>P04</t>
        </is>
      </c>
      <c r="B18" s="11" t="inlineStr">
        <is>
          <t>p_coal 코킹콜</t>
        </is>
      </c>
      <c r="C18" s="11" t="inlineStr">
        <is>
          <t>USD/t</t>
        </is>
      </c>
      <c r="D18" s="11" t="inlineStr">
        <is>
          <t>250</t>
        </is>
      </c>
      <c r="E18" s="11" t="inlineStr">
        <is>
          <t>180</t>
        </is>
      </c>
      <c r="F18" s="11" t="inlineStr">
        <is>
          <t>350</t>
        </is>
      </c>
      <c r="G18" s="11" t="inlineStr">
        <is>
          <t>20-30%</t>
        </is>
      </c>
      <c r="H18" s="11" t="inlineStr">
        <is>
          <t>MEDIUM</t>
        </is>
      </c>
      <c r="I18" s="11" t="inlineStr">
        <is>
          <t>0~+1%/yr</t>
        </is>
      </c>
      <c r="J18" s="11" t="inlineStr">
        <is>
          <t>D4</t>
        </is>
      </c>
    </row>
    <row r="19">
      <c r="A19" s="11" t="inlineStr">
        <is>
          <t>P06</t>
        </is>
      </c>
      <c r="B19" s="11" t="inlineStr">
        <is>
          <t>p_carbon KR ETS</t>
        </is>
      </c>
      <c r="C19" s="11" t="inlineStr">
        <is>
          <t>USD/tCO2</t>
        </is>
      </c>
      <c r="D19" s="11" t="inlineStr">
        <is>
          <t>1</t>
        </is>
      </c>
      <c r="E19" s="11" t="inlineStr">
        <is>
          <t>0.5</t>
        </is>
      </c>
      <c r="F19" s="11" t="inlineStr">
        <is>
          <t>5</t>
        </is>
      </c>
      <c r="G19" s="11" t="inlineStr">
        <is>
          <t>—</t>
        </is>
      </c>
      <c r="H19" s="11" t="inlineStr">
        <is>
          <t>HIGH</t>
        </is>
      </c>
      <c r="I19" s="11" t="inlineStr">
        <is>
          <t>—</t>
        </is>
      </c>
      <c r="J19" s="11" t="inlineStr">
        <is>
          <t>D10</t>
        </is>
      </c>
    </row>
    <row r="20">
      <c r="A20" s="18" t="inlineStr">
        <is>
          <t>P08</t>
        </is>
      </c>
      <c r="B20" s="18" t="inlineStr">
        <is>
          <t>σ_comb (무지원)</t>
        </is>
      </c>
      <c r="C20" s="18" t="inlineStr">
        <is>
          <t>pct/yr</t>
        </is>
      </c>
      <c r="D20" s="18" t="inlineStr">
        <is>
          <t>—</t>
        </is>
      </c>
      <c r="E20" s="18" t="inlineStr">
        <is>
          <t>40</t>
        </is>
      </c>
      <c r="F20" s="18" t="inlineStr">
        <is>
          <t>50</t>
        </is>
      </c>
      <c r="G20" s="18" t="inlineStr">
        <is>
          <t>~46%</t>
        </is>
      </c>
      <c r="H20" s="18" t="inlineStr">
        <is>
          <t>Calculated</t>
        </is>
      </c>
      <c r="I20" s="18" t="inlineStr">
        <is>
          <t>—</t>
        </is>
      </c>
      <c r="J20" s="18" t="inlineStr">
        <is>
          <t>D2+D3</t>
        </is>
      </c>
    </row>
    <row r="21">
      <c r="A21" s="18" t="inlineStr">
        <is>
          <t>P09</t>
        </is>
      </c>
      <c r="B21" s="18" t="inlineStr">
        <is>
          <t>σ_comb (C2 후)</t>
        </is>
      </c>
      <c r="C21" s="18" t="inlineStr">
        <is>
          <t>pct/yr</t>
        </is>
      </c>
      <c r="D21" s="18" t="inlineStr">
        <is>
          <t>—</t>
        </is>
      </c>
      <c r="E21" s="18" t="inlineStr">
        <is>
          <t>18</t>
        </is>
      </c>
      <c r="F21" s="18" t="inlineStr">
        <is>
          <t>22</t>
        </is>
      </c>
      <c r="G21" s="18" t="inlineStr">
        <is>
          <t>~20%</t>
        </is>
      </c>
      <c r="H21" s="18" t="inlineStr">
        <is>
          <t>Calculated</t>
        </is>
      </c>
      <c r="I21" s="18" t="inlineStr">
        <is>
          <t>—</t>
        </is>
      </c>
      <c r="J21" s="18" t="inlineStr">
        <is>
          <t>D2+D3</t>
        </is>
      </c>
    </row>
    <row r="22">
      <c r="A22" s="11" t="inlineStr">
        <is>
          <t>P10</t>
        </is>
      </c>
      <c r="B22" s="11" t="inlineStr">
        <is>
          <t>ρ(H2, elec)</t>
        </is>
      </c>
      <c r="C22" s="11" t="inlineStr">
        <is>
          <t>—</t>
        </is>
      </c>
      <c r="D22" s="11" t="inlineStr">
        <is>
          <t>0.70</t>
        </is>
      </c>
      <c r="E22" s="11" t="inlineStr">
        <is>
          <t>0.55</t>
        </is>
      </c>
      <c r="F22" s="11" t="inlineStr">
        <is>
          <t>0.80</t>
        </is>
      </c>
      <c r="G22" s="11" t="inlineStr">
        <is>
          <t>—</t>
        </is>
      </c>
      <c r="H22" s="11" t="inlineStr">
        <is>
          <t>MEDIUM</t>
        </is>
      </c>
      <c r="I22" s="11" t="inlineStr">
        <is>
          <t>—</t>
        </is>
      </c>
      <c r="J22" s="11" t="inlineStr">
        <is>
          <t>D2+D3</t>
        </is>
      </c>
    </row>
  </sheetData>
  <mergeCells count="4">
    <mergeCell ref="A1:J1"/>
    <mergeCell ref="A13:J13"/>
    <mergeCell ref="A3:J3"/>
    <mergeCell ref="A2:J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4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20" customWidth="1" min="2" max="2"/>
    <col width="38" customWidth="1" min="3" max="3"/>
    <col width="22" customWidth="1" min="4" max="4"/>
    <col width="18" customWidth="1" min="5" max="5"/>
    <col width="12" customWidth="1" min="6" max="6"/>
    <col width="12" customWidth="1" min="7" max="7"/>
    <col width="28" customWidth="1" min="8" max="8"/>
    <col width="32" customWidth="1" min="9" max="9"/>
  </cols>
  <sheetData>
    <row r="1" ht="28" customHeight="1">
      <c r="A1" s="10" t="inlineStr">
        <is>
          <t>S5: 데이터 연계 지도 — S1~S4 → K_inc &amp; ΔOPEX 계산</t>
        </is>
      </c>
    </row>
    <row r="2" ht="40" customHeight="1">
      <c r="A2" s="3" t="inlineStr">
        <is>
          <t>연계 단계</t>
        </is>
      </c>
      <c r="B2" s="3" t="inlineStr">
        <is>
          <t>입력</t>
        </is>
      </c>
      <c r="C2" s="3" t="inlineStr">
        <is>
          <t>수식</t>
        </is>
      </c>
      <c r="D2" s="3" t="inlineStr">
        <is>
          <t>출력 변수</t>
        </is>
      </c>
      <c r="E2" s="3" t="inlineStr">
        <is>
          <t>현재값 (base)</t>
        </is>
      </c>
      <c r="F2" s="3" t="inlineStr">
        <is>
          <t>데이터 코드</t>
        </is>
      </c>
      <c r="G2" s="3" t="inlineStr">
        <is>
          <t>상태</t>
        </is>
      </c>
      <c r="H2" s="3" t="inlineStr">
        <is>
          <t>비고</t>
        </is>
      </c>
      <c r="I2" s="3" t="inlineStr">
        <is>
          <t>CSV 링크</t>
        </is>
      </c>
    </row>
    <row r="3" ht="38" customHeight="1">
      <c r="A3" s="5" t="inlineStr">
        <is>
          <t>L1: Strike</t>
        </is>
      </c>
      <c r="B3" s="5" t="inlineStr">
        <is>
          <t>S3 K07, K10</t>
        </is>
      </c>
      <c r="C3" s="5" t="inlineStr">
        <is>
          <t>K_inc = K_build_exElec − K_avoided</t>
        </is>
      </c>
      <c r="D3" s="5" t="inlineStr">
        <is>
          <t>K_inc,i per 자산</t>
        </is>
      </c>
      <c r="E3" s="5" t="inlineStr">
        <is>
          <t>~$420/t (base)</t>
        </is>
      </c>
      <c r="F3" s="5" t="inlineStr">
        <is>
          <t>D5,D6</t>
        </is>
      </c>
      <c r="G3" s="5" t="inlineStr">
        <is>
          <t>○</t>
        </is>
      </c>
      <c r="H3" s="5" t="inlineStr">
        <is>
          <t>재라이닝 off-cycle → ~$620</t>
        </is>
      </c>
      <c r="I3" s="5" t="inlineStr">
        <is>
          <t>capex_refs.csv</t>
        </is>
      </c>
    </row>
    <row r="4" ht="38" customHeight="1">
      <c r="A4" s="5" t="inlineStr">
        <is>
          <t>L2: 강도계수</t>
        </is>
      </c>
      <c r="B4" s="5" t="inlineStr">
        <is>
          <t>S4 I01–I10</t>
        </is>
      </c>
      <c r="C4" s="5" t="inlineStr">
        <is>
          <t>각 q 추출</t>
        </is>
      </c>
      <c r="D4" s="5" t="inlineStr">
        <is>
          <t>q_H2,q_elec,q_coal 등</t>
        </is>
      </c>
      <c r="E4" s="5" t="inlineStr">
        <is>
          <t>중간값</t>
        </is>
      </c>
      <c r="F4" s="5" t="inlineStr">
        <is>
          <t>D8</t>
        </is>
      </c>
      <c r="G4" s="5" t="inlineStr">
        <is>
          <t>○</t>
        </is>
      </c>
      <c r="H4" s="5" t="inlineStr">
        <is>
          <t>공정 표준; 회사별 분리 불필요</t>
        </is>
      </c>
      <c r="I4" s="5" t="inlineStr">
        <is>
          <t>intensity_coefficients.csv</t>
        </is>
      </c>
    </row>
    <row r="5" ht="38" customHeight="1">
      <c r="A5" s="7" t="inlineStr">
        <is>
          <t>L3: OPEX_H2DRI</t>
        </is>
      </c>
      <c r="B5" s="7" t="inlineStr">
        <is>
          <t>S4 P01,P03 × I01–I05</t>
        </is>
      </c>
      <c r="C5" s="7" t="inlineStr">
        <is>
          <t>p_H2·q_H2 + p_elec·q_elec + ...</t>
        </is>
      </c>
      <c r="D5" s="7" t="inlineStr">
        <is>
          <t>OPEX_H2DRI(p_H2,p_elec)</t>
        </is>
      </c>
      <c r="E5" s="7" t="inlineStr">
        <is>
          <t>~$550–800/t</t>
        </is>
      </c>
      <c r="F5" s="7" t="inlineStr">
        <is>
          <t>D2,D3,D8</t>
        </is>
      </c>
      <c r="G5" s="7" t="inlineStr">
        <is>
          <t>D2 LOW</t>
        </is>
      </c>
      <c r="H5" s="7" t="inlineStr">
        <is>
          <t>p_H2 2026 spot 미확보</t>
        </is>
      </c>
      <c r="I5" s="7" t="inlineStr">
        <is>
          <t>price_parameters.csv</t>
        </is>
      </c>
    </row>
    <row r="6" ht="38" customHeight="1">
      <c r="A6" s="5" t="inlineStr">
        <is>
          <t>L4: OPEX_BF</t>
        </is>
      </c>
      <c r="B6" s="5" t="inlineStr">
        <is>
          <t>S4 P04 × I06–I09</t>
        </is>
      </c>
      <c r="C6" s="5" t="inlineStr">
        <is>
          <t>p_coal·q_coal + p_carbon·e_BF + ...</t>
        </is>
      </c>
      <c r="D6" s="5" t="inlineStr">
        <is>
          <t>OPEX_BF(p_coal,p_carbon)</t>
        </is>
      </c>
      <c r="E6" s="5" t="inlineStr">
        <is>
          <t>~$400–450/t</t>
        </is>
      </c>
      <c r="F6" s="5" t="inlineStr">
        <is>
          <t>D4,D10</t>
        </is>
      </c>
      <c r="G6" s="5" t="inlineStr">
        <is>
          <t>● HIGH</t>
        </is>
      </c>
      <c r="H6" s="5" t="inlineStr"/>
      <c r="I6" s="5" t="inlineStr">
        <is>
          <t>price_parameters.csv</t>
        </is>
      </c>
    </row>
    <row r="7" ht="38" customHeight="1">
      <c r="A7" s="7" t="inlineStr">
        <is>
          <t>L5: ΔOPEX</t>
        </is>
      </c>
      <c r="B7" s="7" t="inlineStr">
        <is>
          <t>L3, L4</t>
        </is>
      </c>
      <c r="C7" s="7" t="inlineStr">
        <is>
          <t>ΔOPEX = OPEX_BF − OPEX_H2DRI</t>
        </is>
      </c>
      <c r="D7" s="7" t="inlineStr">
        <is>
          <t>ΔOPEX(p_H2,p_elec)</t>
        </is>
      </c>
      <c r="E7" s="7" t="inlineStr">
        <is>
          <t>~−$150~−$350/t</t>
        </is>
      </c>
      <c r="F7" s="7" t="inlineStr">
        <is>
          <t>D2,D3,D4</t>
        </is>
      </c>
      <c r="G7" s="7" t="inlineStr">
        <is>
          <t>D2 LOW</t>
        </is>
      </c>
      <c r="H7" s="7" t="inlineStr">
        <is>
          <t>음수 = 전환 비합리. p_H2* ~$2/kg</t>
        </is>
      </c>
      <c r="I7" s="7" t="inlineStr">
        <is>
          <t>계산</t>
        </is>
      </c>
    </row>
    <row r="8" ht="38" customHeight="1">
      <c r="A8" s="7" t="inlineStr">
        <is>
          <t>L6: 자산별 스케일</t>
        </is>
      </c>
      <c r="B8" s="7" t="inlineStr">
        <is>
          <t>S1 용량 + S2 생산</t>
        </is>
      </c>
      <c r="C8" s="7" t="inlineStr">
        <is>
          <t>ΔOPEX × 용량(Mt) × 가동율</t>
        </is>
      </c>
      <c r="D8" s="7" t="inlineStr">
        <is>
          <t>연간 ΔOPEX (MUSD/yr)</t>
        </is>
      </c>
      <c r="E8" s="7" t="inlineStr">
        <is>
          <t>—</t>
        </is>
      </c>
      <c r="F8" s="7" t="inlineStr">
        <is>
          <t>D7</t>
        </is>
      </c>
      <c r="G8" s="7" t="inlineStr">
        <is>
          <t>▲ 부분</t>
        </is>
      </c>
      <c r="H8" s="7" t="inlineStr">
        <is>
          <t>재라이닝 일정 ±1-2yr</t>
        </is>
      </c>
      <c r="I8" s="7" t="inlineStr">
        <is>
          <t>assets.csv + production.csv</t>
        </is>
      </c>
    </row>
    <row r="9" ht="38" customHeight="1">
      <c r="A9" s="9" t="inlineStr">
        <is>
          <t>L7: τ*_i (LSM)</t>
        </is>
      </c>
      <c r="B9" s="9" t="inlineStr">
        <is>
          <t>S1격자 + L5 + K_inc</t>
        </is>
      </c>
      <c r="C9" s="9" t="inlineStr">
        <is>
          <t>LSM 후진귀납</t>
        </is>
      </c>
      <c r="D9" s="9" t="inlineStr">
        <is>
          <t>τ*_i(0) per 자산</t>
        </is>
      </c>
      <c r="E9" s="9" t="inlineStr">
        <is>
          <t>—</t>
        </is>
      </c>
      <c r="F9" s="9" t="inlineStr">
        <is>
          <t>D1–D9</t>
        </is>
      </c>
      <c r="G9" s="9" t="inlineStr">
        <is>
          <t>D1 BLOCKER</t>
        </is>
      </c>
      <c r="H9" s="9" t="inlineStr">
        <is>
          <t>D1 Q^GCAM 확보 후 실행 가능</t>
        </is>
      </c>
      <c r="I9" s="9" t="inlineStr">
        <is>
          <t>src/03_model/</t>
        </is>
      </c>
    </row>
    <row r="10" ht="38" customHeight="1">
      <c r="A10" s="9" t="inlineStr">
        <is>
          <t>L8: 조건격차</t>
        </is>
      </c>
      <c r="B10" s="9" t="inlineStr">
        <is>
          <t>L7 + D1 T_i^GCAM</t>
        </is>
      </c>
      <c r="C10" s="9" t="inlineStr">
        <is>
          <t>Gap_i = τ*_i − T_i^GCAM</t>
        </is>
      </c>
      <c r="D10" s="9" t="inlineStr">
        <is>
          <t>핵심 결과</t>
        </is>
      </c>
      <c r="E10" s="9" t="inlineStr">
        <is>
          <t>—</t>
        </is>
      </c>
      <c r="F10" s="9" t="inlineStr">
        <is>
          <t>D1,D9</t>
        </is>
      </c>
      <c r="G10" s="9" t="inlineStr">
        <is>
          <t>D1 BLOCKER</t>
        </is>
      </c>
      <c r="H10" s="9" t="inlineStr">
        <is>
          <t>헤드라인 결과</t>
        </is>
      </c>
      <c r="I10" s="9" t="inlineStr">
        <is>
          <t>src/04_results/</t>
        </is>
      </c>
    </row>
    <row r="11" ht="38" customHeight="1">
      <c r="A11" s="5" t="inlineStr">
        <is>
          <t>L9: σ-압축 C2</t>
        </is>
      </c>
      <c r="B11" s="5" t="inlineStr">
        <is>
          <t>S4 P01,P03,P10</t>
        </is>
      </c>
      <c r="C11" s="5" t="inlineStr">
        <is>
          <t>σ_comb = √(σH2²+σE²+2ρσHσE)</t>
        </is>
      </c>
      <c r="D11" s="5" t="inlineStr">
        <is>
          <t>σ_comb ~46%→~20%</t>
        </is>
      </c>
      <c r="E11" s="5" t="inlineStr">
        <is>
          <t>무지원:~46%
C2:~20%</t>
        </is>
      </c>
      <c r="F11" s="5" t="inlineStr">
        <is>
          <t>D2,D3</t>
        </is>
      </c>
      <c r="G11" s="5" t="inlineStr">
        <is>
          <t>○</t>
        </is>
      </c>
      <c r="H11" s="5" t="inlineStr">
        <is>
          <t>super-additive ρ=0.70</t>
        </is>
      </c>
      <c r="I11" s="5" t="inlineStr">
        <is>
          <t>price_parameters.csv</t>
        </is>
      </c>
    </row>
    <row r="12" ht="38" customHeight="1">
      <c r="A12" s="9" t="inlineStr">
        <is>
          <t>L10: C1 역캘</t>
        </is>
      </c>
      <c r="B12" s="9" t="inlineStr">
        <is>
          <t>L8 + K_inc</t>
        </is>
      </c>
      <c r="C12" s="9" t="inlineStr">
        <is>
          <t>s_K*: τ*(s_K*) = T_i^GCAM</t>
        </is>
      </c>
      <c r="D12" s="9" t="inlineStr">
        <is>
          <t>s_K* ~0.30–0.50</t>
        </is>
      </c>
      <c r="E12" s="9" t="inlineStr">
        <is>
          <t>—</t>
        </is>
      </c>
      <c r="F12" s="9" t="inlineStr">
        <is>
          <t>D5,D6,D1</t>
        </is>
      </c>
      <c r="G12" s="9" t="inlineStr">
        <is>
          <t>D1 BLOCKER</t>
        </is>
      </c>
      <c r="H12" s="9" t="inlineStr"/>
      <c r="I12" s="9" t="inlineStr">
        <is>
          <t>src/04_results/</t>
        </is>
      </c>
    </row>
    <row r="13" ht="38" customHeight="1">
      <c r="A13" s="9" t="inlineStr">
        <is>
          <t>L11: C2 계약가</t>
        </is>
      </c>
      <c r="B13" s="9" t="inlineStr">
        <is>
          <t>L5 + T_i^GCAM</t>
        </is>
      </c>
      <c r="C13" s="9" t="inlineStr">
        <is>
          <t>p_contract*: ΔOPEX(p*,pelec) &gt; 0</t>
        </is>
      </c>
      <c r="D13" s="9" t="inlineStr">
        <is>
          <t>~$2/kg</t>
        </is>
      </c>
      <c r="E13" s="9" t="inlineStr">
        <is>
          <t>—</t>
        </is>
      </c>
      <c r="F13" s="9" t="inlineStr">
        <is>
          <t>D2,D3,D1</t>
        </is>
      </c>
      <c r="G13" s="9" t="inlineStr">
        <is>
          <t>D1 BLOCKER</t>
        </is>
      </c>
      <c r="H13" s="9" t="inlineStr">
        <is>
          <t>H2 갭 ~$3.5–4/kg</t>
        </is>
      </c>
      <c r="I13" s="9" t="inlineStr">
        <is>
          <t>src/04_results/</t>
        </is>
      </c>
    </row>
    <row r="14" ht="38" customHeight="1">
      <c r="A14" s="7" t="inlineStr">
        <is>
          <t>L12: KR/JP 비교</t>
        </is>
      </c>
      <c r="B14" s="7" t="inlineStr">
        <is>
          <t>S1 + S4 WACC</t>
        </is>
      </c>
      <c r="C14" s="7" t="inlineStr">
        <is>
          <t>KR~7-8% vs JP~3-4%; 보조 150×</t>
        </is>
      </c>
      <c r="D14" s="7" t="inlineStr">
        <is>
          <t>비대칭 정량화</t>
        </is>
      </c>
      <c r="E14" s="7" t="inlineStr">
        <is>
          <t>KR~$19M vs JP~$3.18B</t>
        </is>
      </c>
      <c r="F14" s="7" t="inlineStr">
        <is>
          <t>D9,D12</t>
        </is>
      </c>
      <c r="G14" s="7" t="inlineStr">
        <is>
          <t>▲ 부분</t>
        </is>
      </c>
      <c r="H14" s="7" t="inlineStr">
        <is>
          <t>JOGMEC 상세 비공개</t>
        </is>
      </c>
      <c r="I14" s="7" t="inlineStr">
        <is>
          <t>config/model_parameters.yaml</t>
        </is>
      </c>
    </row>
    <row r="15" ht="38" customHeight="1"/>
  </sheetData>
  <mergeCells count="1">
    <mergeCell ref="A1:I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7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20" customWidth="1" min="2" max="2"/>
    <col width="14" customWidth="1" min="3" max="3"/>
    <col width="12" customWidth="1" min="4" max="4"/>
    <col width="18" customWidth="1" min="5" max="5"/>
    <col width="34" customWidth="1" min="6" max="6"/>
    <col width="36" customWidth="1" min="7" max="7"/>
  </cols>
  <sheetData>
    <row r="1" ht="28" customHeight="1">
      <c r="A1" s="10" t="inlineStr">
        <is>
          <t>DATA_GAP: 갭 현황  |  Rule 2c: GOVERNING 갭 → 저자 요청 필수</t>
        </is>
      </c>
    </row>
    <row r="2" ht="40" customHeight="1">
      <c r="A2" s="3" t="inlineStr">
        <is>
          <t>갭 ID</t>
        </is>
      </c>
      <c r="B2" s="3" t="inlineStr">
        <is>
          <t>데이터</t>
        </is>
      </c>
      <c r="C2" s="3" t="inlineStr">
        <is>
          <t>우선순위</t>
        </is>
      </c>
      <c r="D2" s="3" t="inlineStr">
        <is>
          <t>분류</t>
        </is>
      </c>
      <c r="E2" s="3" t="inlineStr">
        <is>
          <t>현황</t>
        </is>
      </c>
      <c r="F2" s="3" t="inlineStr">
        <is>
          <t>획득 경로</t>
        </is>
      </c>
      <c r="G2" s="3" t="inlineStr">
        <is>
          <t>충족 시 업그레이드</t>
        </is>
      </c>
    </row>
    <row r="3" ht="52" customHeight="1">
      <c r="A3" s="9" t="inlineStr">
        <is>
          <t>G01</t>
        </is>
      </c>
      <c r="B3" s="9" t="inlineStr">
        <is>
          <t>D1: Q^GCAM(t) H2-DRI 배치곡선</t>
        </is>
      </c>
      <c r="C3" s="9" t="inlineStr">
        <is>
          <t>P1 BLOCKER</t>
        </is>
      </c>
      <c r="D3" s="9" t="inlineStr">
        <is>
          <t>GOVERNING</t>
        </is>
      </c>
      <c r="E3" s="9" t="inlineStr">
        <is>
          <t>미확보</t>
        </is>
      </c>
      <c r="F3" s="9" t="inlineStr">
        <is>
          <t>Zenodo 14171830; KOASAS 300934;
KAIST EPRG 저자 직접 요청</t>
        </is>
      </c>
      <c r="G3" s="9" t="inlineStr">
        <is>
          <t>T_i^GCAM 확정 → LSM Phase-1 즉시 실행. Gap_i 산출 가능</t>
        </is>
      </c>
    </row>
    <row r="4" ht="52" customHeight="1">
      <c r="A4" s="7" t="inlineStr">
        <is>
          <t>G02</t>
        </is>
      </c>
      <c r="B4" s="7" t="inlineStr">
        <is>
          <t>D2: σ_H2 실측 (H2 계약가)</t>
        </is>
      </c>
      <c r="C4" s="7" t="inlineStr">
        <is>
          <t>P2 GOVERNING</t>
        </is>
      </c>
      <c r="D4" s="7" t="inlineStr">
        <is>
          <t>GOVERNING</t>
        </is>
      </c>
      <c r="E4" s="7" t="inlineStr">
        <is>
          <t>LOW (LCOH proxy)</t>
        </is>
      </c>
      <c r="F4" s="7" t="inlineStr">
        <is>
          <t>POSCO·현대제철 장기계약 체결가;
JOGMEC CfD 입찰가</t>
        </is>
      </c>
      <c r="G4" s="7" t="inlineStr">
        <is>
          <t>헤드라인 밴드 폭 절반 감소</t>
        </is>
      </c>
    </row>
    <row r="5" ht="52" customHeight="1">
      <c r="A5" s="21" t="inlineStr">
        <is>
          <t>G03</t>
        </is>
      </c>
      <c r="B5" s="21" t="inlineStr">
        <is>
          <t>D7: JFE FY2025 재라이닝 일정</t>
        </is>
      </c>
      <c r="C5" s="21" t="inlineStr">
        <is>
          <t>P3 SHAPING</t>
        </is>
      </c>
      <c r="D5" s="21" t="inlineStr">
        <is>
          <t>SHAPING</t>
        </is>
      </c>
      <c r="E5" s="21" t="inlineStr">
        <is>
          <t>잠정 (FY2024 기반)</t>
        </is>
      </c>
      <c r="F5" s="21" t="inlineStr">
        <is>
          <t>JFE FY2025 Annual Report
(2026-06말 공시 예정)</t>
        </is>
      </c>
      <c r="G5" s="21" t="inlineStr">
        <is>
          <t>Keihin BF1 행사 격자 정밀화</t>
        </is>
      </c>
    </row>
    <row r="6" ht="52" customHeight="1">
      <c r="A6" s="21" t="inlineStr">
        <is>
          <t>G04</t>
        </is>
      </c>
      <c r="B6" s="21" t="inlineStr">
        <is>
          <t>D9: POSCO·현대 WACC 2025</t>
        </is>
      </c>
      <c r="C6" s="21" t="inlineStr">
        <is>
          <t>P3 SHAPING</t>
        </is>
      </c>
      <c r="D6" s="21" t="inlineStr">
        <is>
          <t>SHAPING</t>
        </is>
      </c>
      <c r="E6" s="21" t="inlineStr">
        <is>
          <t>2023-24 기반</t>
        </is>
      </c>
      <c r="F6" s="21" t="inlineStr">
        <is>
          <t>GuruFocus 2026; Refinitiv</t>
        </is>
      </c>
      <c r="G6" s="21" t="inlineStr">
        <is>
          <t>C4 KR Δr* 정밀화</t>
        </is>
      </c>
    </row>
    <row r="7" ht="52" customHeight="1">
      <c r="A7" s="21" t="inlineStr">
        <is>
          <t>G05</t>
        </is>
      </c>
      <c r="B7" s="21" t="inlineStr">
        <is>
          <t>D12: JP JOGMEC CfD 상세</t>
        </is>
      </c>
      <c r="C7" s="21" t="inlineStr">
        <is>
          <t>P4 SHAPING</t>
        </is>
      </c>
      <c r="D7" s="21" t="inlineStr">
        <is>
          <t>SHAPING</t>
        </is>
      </c>
      <c r="E7" s="21" t="inlineStr">
        <is>
          <t>총액만 ($3.18B)</t>
        </is>
      </c>
      <c r="F7" s="21" t="inlineStr">
        <is>
          <t>JOGMEC 공시; 보도자료</t>
        </is>
      </c>
      <c r="G7" s="21" t="inlineStr">
        <is>
          <t>C4 JP 정밀화</t>
        </is>
      </c>
    </row>
    <row r="8" ht="52" customHeight="1"/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2026-06-29T02:06:41Z</dcterms:created>
  <dcterms:modified xmlns:dcterms="http://purl.org/dc/terms/" xmlns:xsi="http://www.w3.org/2001/XMLSchema-instance" xsi:type="dcterms:W3CDTF">2026-06-29T02:06:41Z</dcterms:modified>
</cp:coreProperties>
</file>