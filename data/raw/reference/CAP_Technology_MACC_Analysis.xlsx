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19700" tabRatio="500" firstSheet="0" activeTab="0" autoFilterDateGrouping="1"/>
  </bookViews>
  <sheets>
    <sheet xmlns:r="http://schemas.openxmlformats.org/officeDocument/2006/relationships" name="Steel_MACC" sheetId="1" state="visible" r:id="rId1"/>
    <sheet xmlns:r="http://schemas.openxmlformats.org/officeDocument/2006/relationships" name="Petrochem_MACC" sheetId="2" state="visible" r:id="rId2"/>
    <sheet xmlns:r="http://schemas.openxmlformats.org/officeDocument/2006/relationships" name="Company_Tech_Mapping" sheetId="3" state="visible" r:id="rId3"/>
    <sheet xmlns:r="http://schemas.openxmlformats.org/officeDocument/2006/relationships" name="Carbon_Price_Scenarios" sheetId="4" state="visible" r:id="rId4"/>
    <sheet xmlns:r="http://schemas.openxmlformats.org/officeDocument/2006/relationships" name="Weekly_Tracker" sheetId="5" state="visible" r:id="rId5"/>
    <sheet xmlns:r="http://schemas.openxmlformats.org/officeDocument/2006/relationships" name="BF_Relining_Asset_Life" sheetId="6" state="visible" r:id="rId6"/>
    <sheet xmlns:r="http://schemas.openxmlformats.org/officeDocument/2006/relationships" name="Tech_Portfolio_Split" sheetId="7" state="visible" r:id="rId7"/>
    <sheet xmlns:r="http://schemas.openxmlformats.org/officeDocument/2006/relationships" name="SPARK_CostEngine_P1" sheetId="8" state="visible" r:id="rId8"/>
  </sheets>
  <definedNames>
    <definedName name="_xlnm._FilterDatabase" localSheetId="0" hidden="1">'Steel_MACC'!$A$1:$J$1</definedName>
    <definedName name="_xlnm._FilterDatabase" localSheetId="1" hidden="1">'Petrochem_MACC'!$A$1:$J$1</definedName>
    <definedName name="_xlnm._FilterDatabase" localSheetId="2" hidden="1">'Company_Tech_Mapping'!$A$1:$J$1</definedName>
    <definedName name="_xlnm._FilterDatabase" localSheetId="3" hidden="1">'Carbon_Price_Scenarios'!$A$1:$H$1</definedName>
    <definedName name="_xlnm._FilterDatabase" localSheetId="4" hidden="1">'Weekly_Tracker'!$A$1:$G$1</definedName>
  </definedNames>
  <calcPr calcId="0" fullCalcOnLoad="1" iterateDelta="0.0001"/>
</workbook>
</file>

<file path=xl/styles.xml><?xml version="1.0" encoding="utf-8"?>
<styleSheet xmlns="http://schemas.openxmlformats.org/spreadsheetml/2006/main">
  <numFmts count="4">
    <numFmt numFmtId="164" formatCode="yyyy\-mm\-dd"/>
    <numFmt numFmtId="165" formatCode="yyyy\-mm\-dd\ h:mm:ss"/>
    <numFmt numFmtId="166" formatCode="yyyy-mm-dd h:mm:ss"/>
    <numFmt numFmtId="167" formatCode="yyyy-mm-dd"/>
  </numFmts>
  <fonts count="11">
    <font>
      <name val="Calibri"/>
      <charset val="1"/>
      <family val="2"/>
      <color theme="1"/>
      <sz val="11"/>
    </font>
    <font>
      <name val="Arial"/>
      <family val="2"/>
      <b val="1"/>
      <sz val="11"/>
    </font>
    <font>
      <name val="Arial"/>
      <family val="2"/>
      <sz val="11"/>
    </font>
    <font>
      <name val="Calibri"/>
      <family val="2"/>
      <b val="1"/>
      <sz val="11"/>
    </font>
    <font>
      <name val="나눔명조"/>
      <charset val="129"/>
      <family val="3"/>
      <sz val="8"/>
    </font>
    <font>
      <b val="1"/>
      <color rgb="001F4E78"/>
      <sz val="13"/>
    </font>
    <font>
      <i val="1"/>
      <sz val="9"/>
    </font>
    <font>
      <b val="1"/>
      <color rgb="001F4E78"/>
    </font>
    <font>
      <b val="1"/>
      <color rgb="00FFFFFF"/>
    </font>
    <font>
      <sz val="9"/>
    </font>
    <font>
      <b val="1"/>
    </font>
  </fonts>
  <fills count="7">
    <fill>
      <patternFill/>
    </fill>
    <fill>
      <patternFill patternType="gray125"/>
    </fill>
    <fill>
      <patternFill patternType="solid">
        <fgColor rgb="FFD5E8F0"/>
        <bgColor rgb="FFCCFFFF"/>
      </patternFill>
    </fill>
    <fill>
      <patternFill patternType="solid">
        <fgColor rgb="FFD9E1F2"/>
        <bgColor rgb="FFD9E1F2"/>
      </patternFill>
    </fill>
    <fill>
      <patternFill patternType="solid">
        <fgColor rgb="FFFFF2CC"/>
      </patternFill>
    </fill>
    <fill>
      <patternFill patternType="solid">
        <fgColor rgb="00D9E1F2"/>
      </patternFill>
    </fill>
    <fill>
      <patternFill patternType="solid">
        <fgColor rgb="001F4E78"/>
      </patternFill>
    </fill>
  </fills>
  <borders count="3">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3" fillId="3" borderId="0" applyAlignment="1" pivotButton="0" quotePrefix="0" xfId="0">
      <alignment vertical="top" wrapText="1"/>
    </xf>
    <xf numFmtId="0" fontId="0" fillId="0" borderId="0" applyAlignment="1" pivotButton="0" quotePrefix="0" xfId="0">
      <alignment vertical="top" wrapText="1"/>
    </xf>
    <xf numFmtId="0" fontId="3" fillId="3" borderId="0" pivotButton="0" quotePrefix="0" xfId="0"/>
    <xf numFmtId="164" fontId="0" fillId="0" borderId="0" pivotButton="0" quotePrefix="0" xfId="0"/>
    <xf numFmtId="165" fontId="0" fillId="0" borderId="0" applyAlignment="1" pivotButton="0" quotePrefix="0" xfId="0">
      <alignment vertical="top" wrapText="1"/>
    </xf>
    <xf numFmtId="165" fontId="0" fillId="0" borderId="0" pivotButton="0" quotePrefix="0" xfId="0"/>
    <xf numFmtId="164" fontId="0" fillId="0" borderId="0" applyAlignment="1" pivotButton="0" quotePrefix="0" xfId="0">
      <alignment vertical="top" wrapText="1"/>
    </xf>
    <xf numFmtId="0" fontId="0" fillId="4" borderId="2" applyAlignment="1" pivotButton="0" quotePrefix="0" xfId="0">
      <alignment vertical="top" wrapText="1"/>
    </xf>
    <xf numFmtId="0" fontId="0" fillId="0" borderId="2" applyAlignment="1" pivotButton="0" quotePrefix="0" xfId="0">
      <alignment vertical="top" wrapText="1"/>
    </xf>
    <xf numFmtId="165" fontId="0" fillId="0" borderId="2" applyAlignment="1" pivotButton="0" quotePrefix="0" xfId="0">
      <alignment vertical="top" wrapText="1"/>
    </xf>
    <xf numFmtId="164" fontId="0" fillId="0" borderId="0" pivotButton="0" quotePrefix="0" xfId="0"/>
    <xf numFmtId="165" fontId="0" fillId="0" borderId="0" applyAlignment="1" pivotButton="0" quotePrefix="0" xfId="0">
      <alignment vertical="top" wrapText="1"/>
    </xf>
    <xf numFmtId="165" fontId="0" fillId="0" borderId="0" pivotButton="0" quotePrefix="0" xfId="0"/>
    <xf numFmtId="164" fontId="0" fillId="0" borderId="0" applyAlignment="1" pivotButton="0" quotePrefix="0" xfId="0">
      <alignment vertical="top" wrapText="1"/>
    </xf>
    <xf numFmtId="165" fontId="0" fillId="0" borderId="2" applyAlignment="1" pivotButton="0" quotePrefix="0" xfId="0">
      <alignment vertical="top" wrapText="1"/>
    </xf>
    <xf numFmtId="166" fontId="0" fillId="0" borderId="0" pivotButton="0" quotePrefix="0" xfId="0"/>
    <xf numFmtId="167" fontId="0" fillId="0" borderId="0" applyAlignment="1" pivotButton="0" quotePrefix="0" xfId="0">
      <alignment vertical="top" wrapText="1"/>
    </xf>
    <xf numFmtId="0" fontId="5" fillId="0" borderId="0" pivotButton="0" quotePrefix="0" xfId="0"/>
    <xf numFmtId="0" fontId="6" fillId="0" borderId="0" pivotButton="0" quotePrefix="0" xfId="0"/>
    <xf numFmtId="0" fontId="7" fillId="5" borderId="0" pivotButton="0" quotePrefix="0" xfId="0"/>
    <xf numFmtId="0" fontId="0" fillId="5" borderId="0" pivotButton="0" quotePrefix="0" xfId="0"/>
    <xf numFmtId="0" fontId="8" fillId="6" borderId="0" pivotButton="0" quotePrefix="0" xfId="0"/>
    <xf numFmtId="0" fontId="8" fillId="6"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10"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tabSelected="1" topLeftCell="D1" zoomScaleNormal="100" workbookViewId="0">
      <pane ySplit="1" topLeftCell="A2" activePane="bottomLeft" state="frozen"/>
      <selection pane="bottomLeft" activeCell="K12" sqref="K12"/>
    </sheetView>
  </sheetViews>
  <sheetFormatPr baseColWidth="10" defaultColWidth="8.6640625" defaultRowHeight="15"/>
  <cols>
    <col width="35" customWidth="1" min="1" max="1"/>
    <col width="45" customWidth="1" min="2" max="2"/>
    <col width="41.1640625" bestFit="1" customWidth="1" min="3" max="3"/>
    <col width="34" customWidth="1" min="4" max="4"/>
    <col width="29" customWidth="1" min="5" max="5"/>
    <col width="37" customWidth="1" min="6" max="6"/>
    <col width="28" customWidth="1" min="7" max="7"/>
    <col width="14" customWidth="1" min="8" max="8"/>
    <col width="45" customWidth="1" min="9" max="10"/>
    <col width="55" customWidth="1" min="11" max="11"/>
  </cols>
  <sheetData>
    <row r="1" ht="26.25" customHeight="1">
      <c r="A1" s="1" t="inlineStr">
        <is>
          <t>Technology</t>
        </is>
      </c>
      <c r="B1" s="1" t="inlineStr">
        <is>
          <t>Description</t>
        </is>
      </c>
      <c r="C1" s="1" t="inlineStr">
        <is>
          <t>Abatement_Cost_2030_USD_per_tCO2</t>
        </is>
      </c>
      <c r="D1" s="1" t="inlineStr">
        <is>
          <t>Abatement_Cost_2050_USD_per_tCO2</t>
        </is>
      </c>
      <c r="E1" s="1" t="inlineStr">
        <is>
          <t>CO2_Reduction_vs_BF_BOF_pct</t>
        </is>
      </c>
      <c r="F1" s="1" t="inlineStr">
        <is>
          <t>Production_Cost_USD_per_tonne_steel</t>
        </is>
      </c>
      <c r="G1" s="1" t="inlineStr">
        <is>
          <t>Cost_Premium_vs_BF_BOF_pct</t>
        </is>
      </c>
      <c r="H1" s="1" t="inlineStr">
        <is>
          <t>Maturity_TRL</t>
        </is>
      </c>
      <c r="I1" s="1" t="inlineStr">
        <is>
          <t>Key_Constraint</t>
        </is>
      </c>
      <c r="J1" s="1" t="inlineStr">
        <is>
          <t>Source</t>
        </is>
      </c>
      <c r="K1" s="4" t="inlineStr">
        <is>
          <t>Calibration_Note_Apr2026</t>
        </is>
      </c>
    </row>
    <row r="2" ht="15" customHeight="1">
      <c r="A2" s="2" t="inlineStr">
        <is>
          <t>Energy Efficiency (BF-BOF)</t>
        </is>
      </c>
      <c r="B2" s="2" t="inlineStr">
        <is>
          <t>Incremental improvements to existing BF-BOF</t>
        </is>
      </c>
      <c r="C2" s="2" t="n">
        <v>-8.5</v>
      </c>
      <c r="D2" s="2" t="n">
        <v>-8.5</v>
      </c>
      <c r="E2" s="2" t="inlineStr">
        <is>
          <t>5-15%</t>
        </is>
      </c>
      <c r="F2" s="2" t="inlineStr">
        <is>
          <t>~400-450</t>
        </is>
      </c>
      <c r="G2" s="2" t="inlineStr">
        <is>
          <t>0%</t>
        </is>
      </c>
      <c r="H2" s="2" t="inlineStr">
        <is>
          <t>TRL 9</t>
        </is>
      </c>
      <c r="I2" s="2" t="inlineStr">
        <is>
          <t>Limited reduction potential</t>
        </is>
      </c>
      <c r="J2" s="2" t="inlineStr">
        <is>
          <t>Nature (2025) Hasanbeigi et al.</t>
        </is>
      </c>
      <c r="K2" s="5" t="inlineStr">
        <is>
          <t>Wang et al. 2025 Nature (DOI 10.1038/s41586-025-09658-9) confirms -$8.5/tCO2, 7.2 Gt cumulative (pre-2030 cheapest lever alongside scrap). May 2026: HOLD.</t>
        </is>
      </c>
    </row>
    <row r="3" ht="15" customHeight="1">
      <c r="A3" s="2" t="inlineStr">
        <is>
          <t>Scrap-based EAF</t>
        </is>
      </c>
      <c r="B3" s="2" t="inlineStr">
        <is>
          <t>Electric arc furnace using recycled scrap</t>
        </is>
      </c>
      <c r="C3" s="2" t="n">
        <v>0.3</v>
      </c>
      <c r="D3" s="2" t="n">
        <v>0.3</v>
      </c>
      <c r="E3" s="2" t="inlineStr">
        <is>
          <t>60-75%</t>
        </is>
      </c>
      <c r="F3" s="2" t="inlineStr">
        <is>
          <t>~350-450</t>
        </is>
      </c>
      <c r="G3" s="2" t="inlineStr">
        <is>
          <t>-10 to +5%</t>
        </is>
      </c>
      <c r="H3" s="2" t="inlineStr">
        <is>
          <t>TRL 9</t>
        </is>
      </c>
      <c r="I3" s="2" t="inlineStr">
        <is>
          <t>Scrap availability &amp; quality constraints</t>
        </is>
      </c>
      <c r="J3" s="2" t="inlineStr">
        <is>
          <t>Nature (2025); IEA Iron &amp; Steel Roadmap</t>
        </is>
      </c>
      <c r="K3" s="5" t="inlineStr">
        <is>
          <t>Wang et al. 2025 Nature confirms $0.3/tCO2 global avg, 7.8 Gt cumulative (pre-2030). Japan/Korea upper end ~$5 due to scrap-price inflation + constrained supply. Kurashiki JFE, Yawata Nippon (Tenova Consteel 340t — world's largest EAF, formal construction Apr 2026 per S&amp;P Global / SteelOrbis), Hirohata 0.5Mtpa (110t H2 FY2029, JPY 140B ≈ $920M per Mysteel), Shunan 0.4Mtpa restart, and POSCO Gwangyang 2.5Mtpa (KRW 600B ≈ $450M, H1 2026 completion) all map to this cell. May 2026 calibration: HOLD.</t>
        </is>
      </c>
    </row>
    <row r="4" ht="15" customHeight="1">
      <c r="A4" s="2" t="inlineStr">
        <is>
          <t>NG-DRI-EAF</t>
        </is>
      </c>
      <c r="B4" s="2" t="inlineStr">
        <is>
          <t>Natural gas-based direct reduced iron + EAF</t>
        </is>
      </c>
      <c r="C4" s="2" t="n">
        <v>40</v>
      </c>
      <c r="D4" s="2" t="n">
        <v>27.5</v>
      </c>
      <c r="E4" s="2" t="inlineStr">
        <is>
          <t>30-50%</t>
        </is>
      </c>
      <c r="F4" s="2" t="inlineStr">
        <is>
          <t>~450-550</t>
        </is>
      </c>
      <c r="G4" s="2" t="inlineStr">
        <is>
          <t>+7-18%</t>
        </is>
      </c>
      <c r="H4" s="2" t="inlineStr">
        <is>
          <t>TRL 8-9</t>
        </is>
      </c>
      <c r="I4" s="2" t="inlineStr">
        <is>
          <t>NG price volatility; still fossil-based</t>
        </is>
      </c>
      <c r="J4" s="2" t="inlineStr">
        <is>
          <t>IEA; Transition Asia Green Steel Economics</t>
        </is>
      </c>
      <c r="K4" s="5" t="inlineStr">
        <is>
          <t>LBL Green Steel DRI cost analysis confirms $27-55/tCO2 range; 2030 estimate held at $40. Kobe Steel Oman Midrex 5Mt HBI JV (with Mitsui Chemicals) is the canonical Japan NG-DRI case; Nippon Steel additionally signed Tenova H2-DRI supply agreement Mar 2024 (1 t/h pilot 2025, larger demo 2027) — bridging NG-DRI today to H2-DRI later. Several Oman low-emissions DRI projects expected to reach FID through 2026 per IEEFA Nov 2025. May 2026 calibration: HOLD.</t>
        </is>
      </c>
    </row>
    <row r="5" ht="26.25" customHeight="1">
      <c r="A5" s="2" t="inlineStr">
        <is>
          <t>H2-DRI-EAF (Green H2)</t>
        </is>
      </c>
      <c r="B5" s="2" t="inlineStr">
        <is>
          <t>Hydrogen DRI with green hydrogen + EAF</t>
        </is>
      </c>
      <c r="C5" s="2" t="n">
        <v>110</v>
      </c>
      <c r="D5" s="2" t="n">
        <v>63</v>
      </c>
      <c r="E5" s="2" t="inlineStr">
        <is>
          <t>90-95%</t>
        </is>
      </c>
      <c r="F5" s="2" t="inlineStr">
        <is>
          <t>~550-800</t>
        </is>
      </c>
      <c r="G5" s="2" t="inlineStr">
        <is>
          <t>+50-79%</t>
        </is>
      </c>
      <c r="H5" s="2" t="inlineStr">
        <is>
          <t>TRL 6-7</t>
        </is>
      </c>
      <c r="I5" s="2" t="inlineStr">
        <is>
          <t>Green H2 cost ($3-5/kg current); electrolyzer scale</t>
        </is>
      </c>
      <c r="J5" s="2" t="inlineStr">
        <is>
          <t>Nature (2025); DOE Liftoff Report; McKinsey</t>
        </is>
      </c>
      <c r="K5" s="5" t="inlineStr">
        <is>
          <t>DOE Liftoff + LBL: H2 &lt; $1.63-1.70/kg needed for ≤$240/tCO2. Transition Asia Korea Factsheet (Jul 2024) confirms H2-DRI-EAF Korea LCOS = $621/t at $1/kg H2 (vs $605/t BF-BOF) → South Korea only country in 7-country study where even $1/kg H2 does NOT beat BF-BOF; breakeven requires ≥$15/tCO2 carbon price (LCOS drops to $596/t). At current K-ETS $11.5 → structurally infeasible without subsidy. May 2026 calibration: cross-checked vs DIW DP 2082 Mendelevitch &amp; Hauenstein integrated-route announced-project CAPEX upper bound €4,000/t (~$4,400/t crude steel @ 1.10 EUR/USD); POSCO HyREX 20조원 / ~2.5Mt phase 1 ≈ $5,000-6,000/t implies Korea is 15-30% above the EU best-practice upper bound. Flag Q3 2026: upward MACC revision to ~$150-300/tCO2 at current Korea H2 prices $3-5/kg holding. || 2026-05 calibration: NCBI/DOE-cited 2026 review (PMC11924224) puts H2-DRI abatement cost at &gt;$500/tCO2 for US baseline; EY India Apr 2025 and EU Parliament 2021 anchors €73-166/tCO2. CAP retains $110(2030)/$63(2050) for Korea/Japan, but flags $500/tCO2 as the high-bracket sensitivity for US offshore lines (HPLS Louisiana, USS Gary Works) where green-H2 LCOH and PPA scale are unfavorable.</t>
        </is>
      </c>
    </row>
    <row r="6" ht="15" customHeight="1">
      <c r="A6" s="2" t="inlineStr">
        <is>
          <t>H2-DRI-EAF (Blue H2)</t>
        </is>
      </c>
      <c r="B6" s="2" t="inlineStr">
        <is>
          <t>Hydrogen DRI with blue hydrogen + EAF</t>
        </is>
      </c>
      <c r="C6" s="2" t="n">
        <v>80</v>
      </c>
      <c r="D6" s="2" t="n">
        <v>50</v>
      </c>
      <c r="E6" s="2" t="inlineStr">
        <is>
          <t>80-90%</t>
        </is>
      </c>
      <c r="F6" s="2" t="inlineStr">
        <is>
          <t>~500-650</t>
        </is>
      </c>
      <c r="G6" s="2" t="inlineStr">
        <is>
          <t>+18-25%</t>
        </is>
      </c>
      <c r="H6" s="2" t="inlineStr">
        <is>
          <t>TRL 7</t>
        </is>
      </c>
      <c r="I6" s="2" t="inlineStr">
        <is>
          <t>CCS infrastructure; methane leakage</t>
        </is>
      </c>
      <c r="J6" s="2" t="inlineStr">
        <is>
          <t>ES&amp;T (2024); McKinsey</t>
        </is>
      </c>
      <c r="K6" s="5" t="inlineStr">
        <is>
          <t>Hold at $80/$50; CCS cost-curve uncertainty persists. May 2026: DIW DP 2082 makes no separate blue-H2 cost split but its electrolyzer-cost cluster (€250/t annual steelmaking capacity) anchors only green-H2; blue-H2 retains methane-leakage + CCS risk premium. HOLD.</t>
        </is>
      </c>
    </row>
    <row r="7" ht="15" customHeight="1">
      <c r="A7" s="2" t="inlineStr">
        <is>
          <t>BF-BOF + CCS (Post-combustion)</t>
        </is>
      </c>
      <c r="B7" s="2" t="inlineStr">
        <is>
          <t>Existing BF-BOF with carbon capture retrofit</t>
        </is>
      </c>
      <c r="C7" s="2" t="n">
        <v>63</v>
      </c>
      <c r="D7" s="2" t="n">
        <v>36</v>
      </c>
      <c r="E7" s="2" t="inlineStr">
        <is>
          <t>50-70%</t>
        </is>
      </c>
      <c r="F7" s="2" t="inlineStr">
        <is>
          <t>~500-600</t>
        </is>
      </c>
      <c r="G7" s="2" t="inlineStr">
        <is>
          <t>+15-25%</t>
        </is>
      </c>
      <c r="H7" s="2" t="inlineStr">
        <is>
          <t>TRL 6-7</t>
        </is>
      </c>
      <c r="I7" s="2" t="inlineStr">
        <is>
          <t>CO2 transport/storage; capture rate 50-90%</t>
        </is>
      </c>
      <c r="J7" s="2" t="inlineStr">
        <is>
          <t>Nature (2025); IEA; CATF</t>
        </is>
      </c>
      <c r="K7" s="5" t="inlineStr">
        <is>
          <t>Wang et al. 2025 Nature: $26-75/tCO2 for non-China regions (aligns with current $63/$36). May 2026: HOLD; ORF America 2026 (#129) flags fragmented-policy environment makes BF+CCS retrofit less attractive than greenfield switching.</t>
        </is>
      </c>
    </row>
    <row r="8" ht="26.25" customHeight="1">
      <c r="A8" s="2" t="inlineStr">
        <is>
          <t>SR-BOF + CCS (Smelting Reduction)</t>
        </is>
      </c>
      <c r="B8" s="2" t="inlineStr">
        <is>
          <t>Smelting reduction with integrated CCS</t>
        </is>
      </c>
      <c r="C8" s="2" t="n">
        <v>63</v>
      </c>
      <c r="D8" s="2" t="n">
        <v>36</v>
      </c>
      <c r="E8" s="2" t="inlineStr">
        <is>
          <t>70-85%</t>
        </is>
      </c>
      <c r="F8" s="2" t="inlineStr">
        <is>
          <t>~480-560</t>
        </is>
      </c>
      <c r="G8" s="2" t="inlineStr">
        <is>
          <t>+10-20%</t>
        </is>
      </c>
      <c r="H8" s="2" t="inlineStr">
        <is>
          <t>TRL 5-6</t>
        </is>
      </c>
      <c r="I8" s="2" t="inlineStr">
        <is>
          <t>New process integration; not yet commercial</t>
        </is>
      </c>
      <c r="J8" s="2" t="inlineStr">
        <is>
          <t>Nature (2025)</t>
        </is>
      </c>
      <c r="K8" s="5" t="inlineStr">
        <is>
          <t>Wang et al. 2025 Nature plant-level: SR+CCS ~6.0 Gt CO2 cumulative reduction at $7-15/tCO2 in Chinese plants but $26-75/tCO2 in Japan/Korea/Europe (energy + CCS cost gap). For CAP Korea/Japan analysis use $26-75 band. May 2026: HOLD.</t>
        </is>
      </c>
    </row>
    <row r="9" ht="15" customHeight="1">
      <c r="A9" s="2" t="inlineStr">
        <is>
          <t>Super COURSE50 (BF H2 injection)</t>
        </is>
      </c>
      <c r="B9" s="2" t="inlineStr">
        <is>
          <t>Hydrogen injection into blast furnace (Japan)</t>
        </is>
      </c>
      <c r="C9" s="2" t="n">
        <v>65</v>
      </c>
      <c r="D9" s="2" t="n">
        <v>45</v>
      </c>
      <c r="E9" s="2" t="inlineStr">
        <is>
          <t>30-50%</t>
        </is>
      </c>
      <c r="F9" s="2" t="inlineStr">
        <is>
          <t>~460-520</t>
        </is>
      </c>
      <c r="G9" s="2" t="inlineStr">
        <is>
          <t>+10-20%</t>
        </is>
      </c>
      <c r="H9" s="2" t="inlineStr">
        <is>
          <t>TRL 5-6</t>
        </is>
      </c>
      <c r="I9" s="2" t="inlineStr">
        <is>
          <t>Limited reduction ceiling ~50%; pilot only</t>
        </is>
      </c>
      <c r="J9" s="2" t="inlineStr">
        <is>
          <t>Nippon Steel; JISF; Transition Asia</t>
        </is>
      </c>
      <c r="K9" s="5" t="inlineStr">
        <is>
          <t>Nippon Steel ~$0.3B R&amp;D; TRL 5-6 confirmed; not commercial by 2030. May 2026: SteelWatch CCA 2025 May (Nippon 16.8/100 — 17/18 in 2026 Corporate Scorecard) explicitly flags COURSE50 as 'BF life-extension R&amp;D' rather than transformative replacement. HOLD.</t>
        </is>
      </c>
    </row>
    <row r="10" ht="26.25" customHeight="1">
      <c r="A10" s="2" t="inlineStr">
        <is>
          <t>HyREX (Fluidized bed H2)</t>
        </is>
      </c>
      <c r="B10" s="2" t="inlineStr">
        <is>
          <t>POSCO hydrogen fluidized bed reduction</t>
        </is>
      </c>
      <c r="C10" s="2" t="n">
        <v>115</v>
      </c>
      <c r="D10" s="2" t="n">
        <v>65</v>
      </c>
      <c r="E10" s="2" t="inlineStr">
        <is>
          <t>90-95%</t>
        </is>
      </c>
      <c r="F10" s="2" t="inlineStr">
        <is>
          <t>~600-850</t>
        </is>
      </c>
      <c r="G10" s="2" t="inlineStr">
        <is>
          <t>+50-80%</t>
        </is>
      </c>
      <c r="H10" s="2" t="inlineStr">
        <is>
          <t>TRL 4-5</t>
        </is>
      </c>
      <c r="I10" s="2" t="inlineStr">
        <is>
          <t>Pilot stage (1t/hr ESF); 2030 commercialization target</t>
        </is>
      </c>
      <c r="J10" s="2" t="inlineStr">
        <is>
          <t>POSCO; GreenSteelWorld</t>
        </is>
      </c>
      <c r="K10" s="5" t="inlineStr">
        <is>
          <t>POSCO Pohang demonstration plant site approved Mar 2026 (1.34M m² reclaimed land); 300ktpa pilot commissioning CY2028; full commercialization slipped: industrial-complex window extended to 2041 (POSCO Newsroom). Phased 20조원 (~$14.7B at KRW 1,360/USD) over 3 phases per Seoul Economic Daily / POSCO Newsroom Mar 31 2026. Implied unit CAPEX ~$5-6K/t crude steel = upper edge of DIW DP 2082 announced-project distribution (€4,000/t ≈ $4,400/t). May 2026 calibration: HOLD on $115/$65 LCOA point estimate but tag uncertainty band $90-150 / $50-90 reflecting commercialization-timeline slip. || 2026-05 calibration: SteelOrbis 2026-04 confirms KRW 20T (~$13.3B at KRW 1,500/USD vs CAP $14.7B at KRW 1,360/USD) — FX-rate sensitivity ±$1.4B in headline figure; pilot 300ktpa CY2028 commissioning anchor unchanged; BHP MoU active.</t>
        </is>
      </c>
    </row>
    <row r="11" ht="15" customHeight="1">
      <c r="A11" s="2" t="inlineStr">
        <is>
          <t>Biomass/Biochar substitution</t>
        </is>
      </c>
      <c r="B11" s="2" t="inlineStr">
        <is>
          <t>Partial replacement of coal/coke with biomass</t>
        </is>
      </c>
      <c r="C11" s="2" t="n">
        <v>30</v>
      </c>
      <c r="D11" s="2" t="n">
        <v>22.5</v>
      </c>
      <c r="E11" s="2" t="inlineStr">
        <is>
          <t>10-25%</t>
        </is>
      </c>
      <c r="F11" s="2" t="inlineStr">
        <is>
          <t>~420-480</t>
        </is>
      </c>
      <c r="G11" s="2" t="inlineStr">
        <is>
          <t>+5-10%</t>
        </is>
      </c>
      <c r="H11" s="2" t="inlineStr">
        <is>
          <t>TRL 6-7</t>
        </is>
      </c>
      <c r="I11" s="2" t="inlineStr">
        <is>
          <t>Biomass supply; limited reduction potential</t>
        </is>
      </c>
      <c r="J11" s="2" t="inlineStr">
        <is>
          <t>IEA; worldsteel</t>
        </is>
      </c>
      <c r="K11" s="5" t="inlineStr">
        <is>
          <t>Hold range; no new 2026 data. May 2026: still reading as bridge-only — coal-coke partial replacement, supply-limited.</t>
        </is>
      </c>
    </row>
    <row r="12">
      <c r="A12" t="inlineStr">
        <is>
          <t>H-DRI-EAF (Full Hydrogen, industrial scale)</t>
        </is>
      </c>
      <c r="B12" t="inlineStr">
        <is>
          <t>Industrial-scale 100% green-H2 DRI integrated with EAF (Stegra Boden archetype)</t>
        </is>
      </c>
      <c r="C12" t="n">
        <v>95</v>
      </c>
      <c r="D12" t="n">
        <v>50</v>
      </c>
      <c r="E12" t="inlineStr">
        <is>
          <t>90-95%</t>
        </is>
      </c>
      <c r="F12" t="inlineStr">
        <is>
          <t>~620-820</t>
        </is>
      </c>
      <c r="G12" t="inlineStr">
        <is>
          <t>+35-65%</t>
        </is>
      </c>
      <c r="H12" t="inlineStr">
        <is>
          <t>TRL 7-8 (Stegra Boden first-of-kind ramp-up 2026)</t>
        </is>
      </c>
      <c r="I12" t="inlineStr">
        <is>
          <t>Green H2 supply scale; electrolyzer ramp; first-of-kind cost overrun risk</t>
        </is>
      </c>
      <c r="J12" t="inlineStr">
        <is>
          <t>DIW DP 2082 Mendelevitch &amp; Hauenstein 2025; Stegra Boden 2026; Wang et al. 2025 Nature</t>
        </is>
      </c>
      <c r="K12" t="inlineStr">
        <is>
          <t>NEW May 13 2026 — DIW DP 2082 Mendelevitch &amp; Hauenstein (#131) anchors: (a) electrolyzer CAPEX €250/t annual steelmaking capacity (PEM/ALK 2023 cluster); (b) integrated H-DRI-EAF announced-project CAPEX upper bound €4,000/t crude steel (2022 EUR) for some announced projects, lower-quartile ~€1,300/t. Stegra Boden (formerly H2 Green Steel) is the canonical 5Mt/yr first-of-kind reference: €6.5B raised → ≈ €1,300/t CAPEX at full scale, hot commissioning targeted late 2026. POSCO HyREX 20조원 / ~2.5Mt phase 1 ≈ KRW 8M/t ≈ $5,800/t crude steel sits 30-40% above the DIW upper edge — cross-jurisdictional cost premium tagged for CAP Gap 1 (CAPEX cost-efficiency scoring 부재) and Gap 4 (sector-level benchmark의 기술별 비용 격차 무시). Use this row as the LCOA upper-bound reference for fully-decarbonized integrated steel; HyREX retained as separate row to preserve company-specific premium. || 2026-06-03 update (W9 Day 3): Vogl, Olsson, Eccles et al. 2026 Nature Climate Change (DOI 10.1038/s41558-026-02635-8, published May 2026, Potsdam Institute lead) — 'Averting the steel carbon lock-in through strategic green investments'. Key findings: (a) existing + planned coal steel commits 60 GtCO2 baseline → 114 GtCO2 if announced projects proceed (20% of 1.7°C remaining carbon budget); (b) 60% of lock-in averageable at avg $100-150/tCO2 — directly anchors CAP's $110(2030) point estimate as the policy-tractable upper bound for 60% lock-in avoidance; (c) pre-2030 redirection ≈ 53% / $800B CHEAPER than equivalent post-2030 abatement → empirical support for CAP Gap 5 (annual-snapshot vs investment-timing). CAP attribution: $100-150 band aligns with Steel_MACC row 11 H-DRI-EAF $95 / row 9 HyREX $115 / row 4 H2-DRI(green) $110 — full reweight of Steel_MACC against Vogl distribution is methodology Q3 2026 task. Mark as primary literature anchor for the H-DRI bracket cost band.</t>
        </is>
      </c>
    </row>
    <row r="13">
      <c r="A13" t="inlineStr">
        <is>
          <t>Scrap-Melter + BF Hybrid</t>
        </is>
      </c>
      <c r="B13" t="inlineStr">
        <is>
          <t>Scrap melter molten steel mixed with BF hot metal in converter (Kobe Kakogawa pattern)</t>
        </is>
      </c>
      <c r="C13" t="n">
        <v>25</v>
      </c>
      <c r="D13" t="n">
        <v>20</v>
      </c>
      <c r="E13" t="inlineStr">
        <is>
          <t>30-40%</t>
        </is>
      </c>
      <c r="F13" t="inlineStr">
        <is>
          <t>~420-470</t>
        </is>
      </c>
      <c r="G13" t="inlineStr">
        <is>
          <t>+5-12%</t>
        </is>
      </c>
      <c r="H13" t="inlineStr">
        <is>
          <t>TRL 7-8 (Kobe Kakogawa FY2027 FID)</t>
        </is>
      </c>
      <c r="I13" t="inlineStr">
        <is>
          <t>Preserves BF asset life — partial decarb only; Gap 5 lock-in concern</t>
        </is>
      </c>
      <c r="J13" t="inlineStr">
        <is>
          <t>Kobe Steel 2026-05; SteelOrbis; Kallanish</t>
        </is>
      </c>
      <c r="K13" t="inlineStr">
        <is>
          <t>NEW 2026-05-27 (Day 3): Added in response to Kobe Steel Kakogawa announcement. Hybrid pattern that retains BF; lower abatement potential (30-40%) than full EAF transition (60-75%) but lower CAPEX intensity. CAP methodological flag: this technology row is a 'transition decoy' candidate — appears as decarb investment while preserving coal-asset lock-in. Annual-snapshot frameworks (TPI/SBTi) cannot distinguish from full BF→EAF transition without remaining-life accounting.</t>
        </is>
      </c>
    </row>
  </sheetData>
  <autoFilter ref="A1:J1"/>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11"/>
  <sheetViews>
    <sheetView zoomScaleNormal="100" workbookViewId="0">
      <pane ySplit="1" topLeftCell="A2" activePane="bottomLeft" state="frozen"/>
      <selection pane="bottomLeft" activeCell="A1" sqref="A1"/>
    </sheetView>
  </sheetViews>
  <sheetFormatPr baseColWidth="10" defaultColWidth="8.6640625" defaultRowHeight="15"/>
  <cols>
    <col width="40" customWidth="1" min="1" max="1"/>
    <col width="45" customWidth="1" min="2" max="2"/>
    <col width="34" customWidth="1" min="3" max="4"/>
    <col width="31" customWidth="1" min="5" max="5"/>
    <col width="26" customWidth="1" min="6" max="6"/>
    <col width="30" customWidth="1" min="7" max="7"/>
    <col width="14" customWidth="1" min="8" max="8"/>
    <col width="45" customWidth="1" min="9" max="9"/>
    <col width="26" customWidth="1" min="10" max="10"/>
    <col width="55" customWidth="1" min="11" max="11"/>
  </cols>
  <sheetData>
    <row r="1" ht="26.25" customHeight="1">
      <c r="A1" s="1" t="inlineStr">
        <is>
          <t>Technology</t>
        </is>
      </c>
      <c r="B1" s="1" t="inlineStr">
        <is>
          <t>Description</t>
        </is>
      </c>
      <c r="C1" s="1" t="inlineStr">
        <is>
          <t>Abatement_Cost_2030_USD_per_tCO2</t>
        </is>
      </c>
      <c r="D1" s="1" t="inlineStr">
        <is>
          <t>Abatement_Cost_2050_USD_per_tCO2</t>
        </is>
      </c>
      <c r="E1" s="1" t="inlineStr">
        <is>
          <t>CO2_Reduction_vs_Baseline_pct</t>
        </is>
      </c>
      <c r="F1" s="1" t="inlineStr">
        <is>
          <t>Cost_Impact_vs_Baseline</t>
        </is>
      </c>
      <c r="G1" s="1" t="inlineStr">
        <is>
          <t>Cost_Premium_vs_Baseline_pct</t>
        </is>
      </c>
      <c r="H1" s="1" t="inlineStr">
        <is>
          <t>Maturity_TRL</t>
        </is>
      </c>
      <c r="I1" s="1" t="inlineStr">
        <is>
          <t>Key_Constraint</t>
        </is>
      </c>
      <c r="J1" s="1" t="inlineStr">
        <is>
          <t>Source</t>
        </is>
      </c>
      <c r="K1" s="6" t="inlineStr">
        <is>
          <t>Calibration_Note_Apr2026</t>
        </is>
      </c>
    </row>
    <row r="2" ht="26.25" customHeight="1">
      <c r="A2" s="2" t="inlineStr">
        <is>
          <t>Energy Efficiency (Steam Cracker)</t>
        </is>
      </c>
      <c r="B2" s="2" t="inlineStr">
        <is>
          <t>Incremental heat recovery / process optimization</t>
        </is>
      </c>
      <c r="C2" s="2" t="n">
        <v>-7.5</v>
      </c>
      <c r="D2" s="2" t="n">
        <v>-7.5</v>
      </c>
      <c r="E2" s="2" t="inlineStr">
        <is>
          <t>5-15%</t>
        </is>
      </c>
      <c r="F2" s="2" t="inlineStr">
        <is>
          <t>Baseline</t>
        </is>
      </c>
      <c r="G2" s="2" t="inlineStr">
        <is>
          <t>0%</t>
        </is>
      </c>
      <c r="H2" s="2" t="inlineStr">
        <is>
          <t>TRL 9</t>
        </is>
      </c>
      <c r="I2" s="2" t="inlineStr">
        <is>
          <t>Limited headroom</t>
        </is>
      </c>
      <c r="J2" s="2" t="inlineStr">
        <is>
          <t>IEA; BNEF</t>
        </is>
      </c>
      <c r="K2" t="inlineStr">
        <is>
          <t>Hold; incremental gains only. May 2026: Coolbrook RDR adoption could 'pull forward' some headroom by enabling partial electrification retrofits.</t>
        </is>
      </c>
    </row>
    <row r="3" ht="15" customHeight="1">
      <c r="A3" s="2" t="inlineStr">
        <is>
          <t>Naphtha Cracker + CCS</t>
        </is>
      </c>
      <c r="B3" s="2" t="inlineStr">
        <is>
          <t>Post-combustion CCS on existing crackers</t>
        </is>
      </c>
      <c r="C3" s="2" t="n">
        <v>80</v>
      </c>
      <c r="D3" s="2" t="n">
        <v>52.5</v>
      </c>
      <c r="E3" s="2" t="inlineStr">
        <is>
          <t>60-90%</t>
        </is>
      </c>
      <c r="F3" s="2" t="inlineStr">
        <is>
          <t>+15-25% OpEx</t>
        </is>
      </c>
      <c r="G3" s="2" t="inlineStr">
        <is>
          <t>+15-25%</t>
        </is>
      </c>
      <c r="H3" s="2" t="inlineStr">
        <is>
          <t>TRL 6-7</t>
        </is>
      </c>
      <c r="I3" s="2" t="inlineStr">
        <is>
          <t>Dilute CO2 stream → high capture cost</t>
        </is>
      </c>
      <c r="J3" s="2" t="inlineStr">
        <is>
          <t>IEA; BNEF</t>
        </is>
      </c>
      <c r="K3" t="inlineStr">
        <is>
          <t>Hold. Dilute-CO2 capture cost structural; May 2026: ADB Institute Toyofuku et al. 2025 (#136) introduces CBAM × Article 6 × domestic ETS offset arithmetic — effective Korea/Japan carbon cost potentially well below nominal due to free-allocation; do NOT push CCS retrofit cost down without re-running with effective-price arithmetic.</t>
        </is>
      </c>
    </row>
    <row r="4" ht="15" customHeight="1">
      <c r="A4" s="2" t="inlineStr">
        <is>
          <t>Electric Steam Cracker</t>
        </is>
      </c>
      <c r="B4" s="2" t="inlineStr">
        <is>
          <t>Electrified cracking with renewable power</t>
        </is>
      </c>
      <c r="C4" s="2" t="n">
        <v>75</v>
      </c>
      <c r="D4" s="2" t="n">
        <v>35</v>
      </c>
      <c r="E4" s="2" t="inlineStr">
        <is>
          <t>80-95%</t>
        </is>
      </c>
      <c r="F4" s="2" t="inlineStr">
        <is>
          <t>Near parity by 2040-2050</t>
        </is>
      </c>
      <c r="G4" s="2" t="inlineStr">
        <is>
          <t>+35% (2030) to near-parity</t>
        </is>
      </c>
      <c r="H4" s="2" t="inlineStr">
        <is>
          <t>TRL 4-5</t>
        </is>
      </c>
      <c r="I4" s="2" t="inlineStr">
        <is>
          <t>Not yet commercial; BASF/Sabic/Linde pilot</t>
        </is>
      </c>
      <c r="J4" s="2" t="inlineStr">
        <is>
          <t>BNEF; Schneider Electric</t>
        </is>
      </c>
      <c r="K4" t="inlineStr">
        <is>
          <t>May 13 2026 — Coolbrook RotoDynamic Reactor (RDR™) large-scale pilot naphtha cracking now operating in Netherlands (Coolbrook PR Dec 2024 / 2025-26 follow-up; #130). Global naphtha cracker electrification market USD 1.46B (2024) → USD 7.62B (2033) CAGR 18.7%. BASF/SABIC/Linde demo + Coolbrook/Braskem commercial partnerships proceeding. First Coolbrook RDR commercial units 2026. For CAP we now treat 'electric cracker' as a 3-technology bracket — see new rows below for RDR vs plasma vs e-furnace cost-band detail. Aggregate cell HELD at $75/$35 as bracket midpoint.</t>
        </is>
      </c>
    </row>
    <row r="5" ht="15" customHeight="1">
      <c r="A5" s="2" t="inlineStr">
        <is>
          <t>Bio-naphtha feedstock</t>
        </is>
      </c>
      <c r="B5" s="2" t="inlineStr">
        <is>
          <t>Replacement of fossil naphtha with bio-based</t>
        </is>
      </c>
      <c r="C5" s="2" t="n">
        <v>115</v>
      </c>
      <c r="D5" s="2" t="n">
        <v>80</v>
      </c>
      <c r="E5" s="2" t="inlineStr">
        <is>
          <t>50-80%</t>
        </is>
      </c>
      <c r="F5" s="2" t="inlineStr">
        <is>
          <t>+40-60%</t>
        </is>
      </c>
      <c r="G5" s="2" t="inlineStr">
        <is>
          <t>+40-60%</t>
        </is>
      </c>
      <c r="H5" s="2" t="inlineStr">
        <is>
          <t>TRL 7</t>
        </is>
      </c>
      <c r="I5" s="2" t="inlineStr">
        <is>
          <t>Supply chain scale; waste feedstock availability</t>
        </is>
      </c>
      <c r="J5" s="2" t="inlineStr">
        <is>
          <t>BNEF; IEA</t>
        </is>
      </c>
      <c r="K5" t="inlineStr">
        <is>
          <t>LG Chem-Enilive HVO 400ktpa Daesan JV (revised up from 300ktpa per Enilive/LG Chem PR Aug 2025); groundbreaking Aug 2025; completion 2027. Real-world Korea cost signal incoming. HOLD $115/$80.</t>
        </is>
      </c>
    </row>
    <row r="6" ht="15" customHeight="1">
      <c r="A6" s="2" t="inlineStr">
        <is>
          <t>Chemical Recycling (Pyrolysis)</t>
        </is>
      </c>
      <c r="B6" s="2" t="inlineStr">
        <is>
          <t>Waste plastic to pyrolysis oil as feedstock</t>
        </is>
      </c>
      <c r="C6" s="2" t="n">
        <v>55</v>
      </c>
      <c r="D6" s="2" t="n">
        <v>35</v>
      </c>
      <c r="E6" s="2" t="inlineStr">
        <is>
          <t>20-40% (Scope 3)</t>
        </is>
      </c>
      <c r="F6" s="2" t="inlineStr">
        <is>
          <t>+10-30%</t>
        </is>
      </c>
      <c r="G6" s="2" t="inlineStr">
        <is>
          <t>+10-30%</t>
        </is>
      </c>
      <c r="H6" s="2" t="inlineStr">
        <is>
          <t>TRL 6-7</t>
        </is>
      </c>
      <c r="I6" s="2" t="inlineStr">
        <is>
          <t>Feedstock quality; yield rates</t>
        </is>
      </c>
      <c r="J6" s="2" t="inlineStr">
        <is>
          <t>BNEF</t>
        </is>
      </c>
      <c r="K6" t="inlineStr">
        <is>
          <t>Hold; Korea NCC restructuring (Daesan Project No.1 Feb 2026 KRW 2.1T gov package; Yeosu Lotte+Hanwha+DL+GS-Caltex consolidation Mar 2026) alters demand-side baseline. May 2026: SK Geocentric Ulsan ARC (KRW 1.8T = $1.4B; 3 chem-recycling technologies; 320ktpa target by 2028) is the canonical Korea data point.</t>
        </is>
      </c>
    </row>
    <row r="7" ht="26.25" customHeight="1">
      <c r="A7" s="2" t="inlineStr">
        <is>
          <t>Green Methanol / e-Methanol</t>
        </is>
      </c>
      <c r="B7" s="2" t="inlineStr">
        <is>
          <t>Electrolytic hydrogen + captured CO2 → methanol</t>
        </is>
      </c>
      <c r="C7" s="2" t="n">
        <v>160</v>
      </c>
      <c r="D7" s="2" t="n">
        <v>90</v>
      </c>
      <c r="E7" s="2" t="inlineStr">
        <is>
          <t>70-90%</t>
        </is>
      </c>
      <c r="F7" s="2" t="inlineStr">
        <is>
          <t>+80-150%</t>
        </is>
      </c>
      <c r="G7" s="2" t="inlineStr">
        <is>
          <t>+80-150%</t>
        </is>
      </c>
      <c r="H7" s="2" t="inlineStr">
        <is>
          <t>TRL 5-6</t>
        </is>
      </c>
      <c r="I7" s="2" t="inlineStr">
        <is>
          <t>Green H2 cost; CO2 source</t>
        </is>
      </c>
      <c r="J7" s="2" t="inlineStr">
        <is>
          <t>IEA; Mitsui Chemicals</t>
        </is>
      </c>
      <c r="K7" t="inlineStr">
        <is>
          <t>Mitsui Chemicals pilot; cost still $160/$90. May 2026: HOLD.</t>
        </is>
      </c>
    </row>
    <row r="8" ht="15" customHeight="1">
      <c r="A8" s="2" t="inlineStr">
        <is>
          <t>Hydrogen fuel switching (process heat)</t>
        </is>
      </c>
      <c r="B8" s="2" t="inlineStr">
        <is>
          <t>Replace NG with H2 for furnace heat</t>
        </is>
      </c>
      <c r="C8" s="2" t="n">
        <v>115</v>
      </c>
      <c r="D8" s="2" t="n">
        <v>60</v>
      </c>
      <c r="E8" s="2" t="inlineStr">
        <is>
          <t>30-50% (Scope 1)</t>
        </is>
      </c>
      <c r="F8" s="2" t="inlineStr">
        <is>
          <t>+20-40%</t>
        </is>
      </c>
      <c r="G8" s="2" t="inlineStr">
        <is>
          <t>+20-40%</t>
        </is>
      </c>
      <c r="H8" s="2" t="inlineStr">
        <is>
          <t>TRL 5-6</t>
        </is>
      </c>
      <c r="I8" s="2" t="inlineStr">
        <is>
          <t>H2 infrastructure; burner retrofit</t>
        </is>
      </c>
      <c r="J8" s="2" t="inlineStr">
        <is>
          <t>IEA; Schneider Electric</t>
        </is>
      </c>
      <c r="K8" t="inlineStr">
        <is>
          <t>Hold; H2 price dependent. May 2026: tied to same Korea/Japan green-H2 LCOH trajectory as Steel_MACC H2-DRI cell.</t>
        </is>
      </c>
    </row>
    <row r="9">
      <c r="A9" t="inlineStr">
        <is>
          <t>Coolbrook RotoDynamic Reactor (RDR™)</t>
        </is>
      </c>
      <c r="B9" t="inlineStr">
        <is>
          <t>Electrified mechanical-energy steam cracking (Coolbrook/Brightlands pilot)</t>
        </is>
      </c>
      <c r="C9" t="n">
        <v>65</v>
      </c>
      <c r="D9" t="n">
        <v>25</v>
      </c>
      <c r="E9" t="inlineStr">
        <is>
          <t>85-100% (Scope 1+2 with RE)</t>
        </is>
      </c>
      <c r="F9" t="inlineStr">
        <is>
          <t>+30-45% (2030); near-parity 2035-2040</t>
        </is>
      </c>
      <c r="G9" t="inlineStr">
        <is>
          <t>+30-45%</t>
        </is>
      </c>
      <c r="H9" t="inlineStr">
        <is>
          <t>TRL 7-8 (large-scale pilot operating)</t>
        </is>
      </c>
      <c r="I9" t="inlineStr">
        <is>
          <t>RE power supply scale; first-of-kind cost overrun; integration into existing crackers</t>
        </is>
      </c>
      <c r="J9" t="inlineStr">
        <is>
          <t>Coolbrook 2024-26; AIChE Spring 2024 (Paper 120f); BNEF 2025</t>
        </is>
      </c>
      <c r="K9" t="inlineStr">
        <is>
          <t>NEW May 13 2026 — Coolbrook large-scale pilot naphtha cracking commissioned (Coolbrook PR; #130). First commercial RDR units 2026; Brightlands Chemelot, BASF/SABIC/Linde demo pipeline visible. CAPEX per ton currently undisclosed (customer-customized); LCOA point estimate $65/$25 set as plasma/RDR 3-tech bracket low edge.</t>
        </is>
      </c>
    </row>
    <row r="10">
      <c r="A10" t="inlineStr">
        <is>
          <t>Plasma Cracker</t>
        </is>
      </c>
      <c r="B10" t="inlineStr">
        <is>
          <t>Plasma-arc methane cracker pathway (lab/pilot)</t>
        </is>
      </c>
      <c r="C10" t="n">
        <v>110</v>
      </c>
      <c r="D10" t="n">
        <v>60</v>
      </c>
      <c r="E10" t="inlineStr">
        <is>
          <t>90-100% (Scope 1)</t>
        </is>
      </c>
      <c r="F10" t="inlineStr">
        <is>
          <t>+50-90%</t>
        </is>
      </c>
      <c r="G10" t="inlineStr">
        <is>
          <t>+50-90%</t>
        </is>
      </c>
      <c r="H10" t="inlineStr">
        <is>
          <t>TRL 4-5</t>
        </is>
      </c>
      <c r="I10" t="inlineStr">
        <is>
          <t>Power demand intensity; H2 co-product economics</t>
        </is>
      </c>
      <c r="J10" t="inlineStr">
        <is>
          <t>Green Chemistry RSC 2025 (#55)</t>
        </is>
      </c>
      <c r="K10" t="inlineStr">
        <is>
          <t>NEW May 13 2026 — Plasma cracker positioned as 3-tech bracket upper edge; CAP holds $110/$60 pending demo-scale data 2027-28.</t>
        </is>
      </c>
    </row>
    <row r="11">
      <c r="A11" t="inlineStr">
        <is>
          <t>Bio-NCC (Revolefin: bioethanol→olefins/aromatics)</t>
        </is>
      </c>
      <c r="B11" t="inlineStr">
        <is>
          <t>One-stop bioethanol-to-olefins/aromatics catalysis (Asahi Kasei Revolefin) considered for adoption at Mitsui Osaka ethylene center post-2030 consolidation</t>
        </is>
      </c>
      <c r="C11" t="n">
        <v>95</v>
      </c>
      <c r="D11" t="n">
        <v>60</v>
      </c>
      <c r="E11" t="inlineStr">
        <is>
          <t>60-80%</t>
        </is>
      </c>
      <c r="F11" t="inlineStr">
        <is>
          <t>+25-45%</t>
        </is>
      </c>
      <c r="G11" t="inlineStr">
        <is>
          <t>+25-45%</t>
        </is>
      </c>
      <c r="H11" t="inlineStr">
        <is>
          <t>TRL 5-6</t>
        </is>
      </c>
      <c r="I11" t="inlineStr">
        <is>
          <t>Bioethanol feedstock cost/supply; first commercial deployment 2030+</t>
        </is>
      </c>
      <c r="J11" t="inlineStr">
        <is>
          <t>Asahi Kasei Revolefin technology overview; Mitsui Chemicals PR 2026-05-12; C&amp;EN 2026-05</t>
        </is>
      </c>
      <c r="K11" t="inlineStr">
        <is>
          <t>NEW 2026-05-20 — Asahi Revolefin (bioethanol→olefins/aromatics one-stop catalytic) now formally on the table for Osaka Petrochemical Industries 455ktpa Takaishi cracker (Mitsui/Mitsubishi/Asahi 45/45/10 JV finalized 2026-05-12). Positions between LG Chem Daesan HVO bio-naphtha ($115/$80) and Coolbrook electric cracker ($65/$25). CAP places at $95/$60 — bridge candidate. Critical for understanding the SUBSTITUTION pathway after Mizushima FY2030 shutdown.</t>
        </is>
      </c>
    </row>
  </sheetData>
  <autoFilter ref="A1:J1"/>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10"/>
  <sheetViews>
    <sheetView zoomScaleNormal="100" workbookViewId="0">
      <pane ySplit="1" topLeftCell="A2" activePane="bottomLeft" state="frozen"/>
      <selection pane="bottomLeft" activeCell="A1" sqref="A1"/>
    </sheetView>
  </sheetViews>
  <sheetFormatPr baseColWidth="10" defaultColWidth="8.6640625" defaultRowHeight="15"/>
  <cols>
    <col width="25" customWidth="1" min="1" max="1"/>
    <col width="9" customWidth="1" min="2" max="2"/>
    <col width="43" customWidth="1" min="3" max="3"/>
    <col width="23" customWidth="1" min="4" max="4"/>
    <col width="25" customWidth="1" min="5" max="5"/>
    <col width="22" customWidth="1" min="6" max="6"/>
    <col width="30" customWidth="1" min="7" max="7"/>
    <col width="22" customWidth="1" min="8" max="8"/>
    <col width="15" customWidth="1" min="9" max="9"/>
    <col width="45" customWidth="1" min="10" max="10"/>
  </cols>
  <sheetData>
    <row r="1" ht="26.25" customHeight="1">
      <c r="A1" s="1" t="inlineStr">
        <is>
          <t>Company</t>
        </is>
      </c>
      <c r="B1" s="1" t="inlineStr">
        <is>
          <t>Country</t>
        </is>
      </c>
      <c r="C1" s="1" t="inlineStr">
        <is>
          <t>Primary_Technology_Bet</t>
        </is>
      </c>
      <c r="D1" s="1" t="inlineStr">
        <is>
          <t>Est_CAPEX_Billion_USD</t>
        </is>
      </c>
      <c r="E1" s="1" t="inlineStr">
        <is>
          <t>New_Capacity_Mtpa</t>
        </is>
      </c>
      <c r="F1" s="1" t="inlineStr">
        <is>
          <t>CAPEX_USD_M_per_Mtpa</t>
        </is>
      </c>
      <c r="G1" s="1" t="inlineStr">
        <is>
          <t>MACC_Range_USD_per_tCO2</t>
        </is>
      </c>
      <c r="H1" s="1" t="inlineStr">
        <is>
          <t>Target_Reduction_pct</t>
        </is>
      </c>
      <c r="I1" s="1" t="inlineStr">
        <is>
          <t>Implied_Cost_per_tCO2_abated</t>
        </is>
      </c>
      <c r="J1" s="1" t="inlineStr">
        <is>
          <t>MACC_Alignment_Score</t>
        </is>
      </c>
      <c r="K1" s="1" t="inlineStr">
        <is>
          <t>Gap_Relevance</t>
        </is>
      </c>
      <c r="L1" s="1" t="inlineStr">
        <is>
          <t>Notes</t>
        </is>
      </c>
    </row>
    <row r="2" ht="26.25" customHeight="1">
      <c r="A2" s="2" t="inlineStr">
        <is>
          <t>POSCO</t>
        </is>
      </c>
      <c r="B2" s="2" t="inlineStr">
        <is>
          <t>Korea</t>
        </is>
      </c>
      <c r="C2" s="2" t="inlineStr">
        <is>
          <t>HyREX (H2 fluidized bed DRI)</t>
        </is>
      </c>
      <c r="D2" s="2" t="n">
        <v>14.7</v>
      </c>
      <c r="E2" t="n">
        <v>2.8</v>
      </c>
      <c r="F2" t="n">
        <v>5250</v>
      </c>
      <c r="G2" s="2" t="inlineStr">
        <is>
          <t>100-130</t>
        </is>
      </c>
      <c r="H2" s="2" t="inlineStr">
        <is>
          <t>10% by 2030</t>
        </is>
      </c>
      <c r="I2" s="2" t="n">
        <v>1885</v>
      </c>
      <c r="J2" s="2" t="inlineStr">
        <is>
          <t>Medium-Low</t>
        </is>
      </c>
      <c r="K2" s="2" t="inlineStr">
        <is>
          <t>Gap 1/2/3</t>
        </is>
      </c>
      <c r="L2" s="2" t="inlineStr">
        <is>
          <t>May 13 2026 calibration — POSCO HyREX program total 20조원 ≈ $14.7B (KRW 20T @ KRW 1,360/USD; reaffirmed Seoul Economic Daily 2026-03-31 + POSCO Newsroom #134). Phased 3-stage: (Ph.1) 300ktpa Pohang demonstration plant — site approved 2026-03 (1.34M m² reclaimed land), commissioning CY2028; (Ph.2) 1.5Mtpa HyREX commercial — 2030 commercialization target retained but industrial-complex window extended to 2041 per POSCO Newsroom; (Ph.3) post-2035 HyREX scale-up + ancillary infrastructure (Tech_Portfolio_Split row added 2026-05-13). BHP-POSCO MOU Oct 2025 active. Gwangyang 2.5Mtpa EAF (KRW 600B ≈ $450M) on track for H1 2026 commissioning — STAND-ALONE, separate from HyREX 20조원 envelope. Concurrent BF lock-in: Pohang BF No.4 modernization $381.7M (Apr 2024 start) → 2044 life; Gwangyang No.2 BF reline Apr 2025 → +15yr life, 137.02 MtCO2 cumulative lock-in (For Our Climate / ClimateTRACE — Gwangyang world's highest-emitting steel plant). Gwangyang BF4 (mid-life to ~2038) and BF5 (next decision 2031-2033) now indexed in BF_Relining_Asset_Life (2026-05-13). K-ETS KAU25 ~KRW 17,000 ($11.5; OPIS Apr 26 2026) still provides near-zero incentive given 100% free allocation retention in Phase 4 (ICAP). Pohang BF No.1 permanently shut Dec 2021. Youth civil suit filed against Gwangyang BF2 reline decision. POSCO-JSW Odisha 6Mt BF JV (Apr 20 2026 groundbreaking, ops 2031) adds offshore BF lock-in — Gap 5 cross-jurisdictional concern. Gap 5 flagship. | UPDATE 2026-05-27 (Day 3, Ref #164): POSCO HyREX CAPEX now decomposed into HyREX-CORE (reactor + EAF) vs H2-PROCUREMENT INFRASTRUCTURE (separate $6.5B by 2030 commitment for H2 prod/transport/storage). Korea 2030 H2 mix: 940kt grey + 750kt blue + 250kt domestic green + 1.96Mt imported green. Pricing: imported blue NH3 $3.40/kg, domestic blue $4.33/kg, imported green NH3 $4.56/kg (Ko/Chang 2024 ScienceDirect). At POSCO 1Mtpa commercial HyREX (2030) ~58kg H2/t steel → 58,000 t H2/yr — domestic green production insufficient until late 2030s; LCOA will be grey-H2-dominated through ~2032, blue-mix 2032-2038, green-shift post-2038. Three new POSCO sub-rows added to Tech_Portfolio_Split with H2-sourcing sensitivity.</t>
        </is>
      </c>
    </row>
    <row r="3" ht="15" customHeight="1">
      <c r="A3" s="2" t="inlineStr">
        <is>
          <t>Hyundai Steel</t>
        </is>
      </c>
      <c r="B3" s="2" t="inlineStr">
        <is>
          <t>Korea</t>
        </is>
      </c>
      <c r="C3" s="2" t="inlineStr">
        <is>
          <t>Scrap upgrade + new EAF (Dangjin/Pohang); separate $5.8B US EAF mill</t>
        </is>
      </c>
      <c r="D3" s="2" t="n">
        <v>1.1</v>
      </c>
      <c r="E3" t="n">
        <v>0.5</v>
      </c>
      <c r="F3" t="n">
        <v>2200</v>
      </c>
      <c r="G3" s="2" t="inlineStr">
        <is>
          <t>0.3-40 (Scrap EAF + NG-DRI)</t>
        </is>
      </c>
      <c r="H3" s="2" t="inlineStr">
        <is>
          <t>Net Zero 2050</t>
        </is>
      </c>
      <c r="I3" s="2" t="n">
        <v>127</v>
      </c>
      <c r="J3" s="2" t="inlineStr">
        <is>
          <t>Medium</t>
        </is>
      </c>
      <c r="K3" s="2" t="inlineStr">
        <is>
          <t>Gap 1/5</t>
        </is>
      </c>
      <c r="L3" s="2" t="inlineStr">
        <is>
          <t>CAPEX CORRECTED Apr2026: KRW 170B ($116M) scrap program + estimated new Korean EAF spend → ~$1.1B Korean-domestic decarbonization. HYBRID BF-EAF process began mass production Feb 2026 (20% CO2 reduction vs conventional BF; Korea Times/SteelOrbis); Phase 2 Hy-Arc target ~40% reduction. Dangjin 499MW LNG plant (2028) to support future EAF electrification. US Louisiana EAF mill ($5.8B / KRW 4.27T capital increase approved 2026, 2.7Mtpa, start 2029) is SEPARATE from Korean denominator. No interim % reduction target → Gap 5 exposure high; 3 Dangjin BFs (5,250 m³ each) all relined 2010-2015 → next decision windows 2030-2035. | RE-VERIFIED 2026-05-27 (Day 3): Hyundai Steel KR decarb CAPEX confirmed at ~$1.1B (KRW 170B scrap + Dangjin EAF FID partial). The $5.8B HPLS Louisiana mill stays SEPARATE — POSCO 20% attribution already broken out in Tech_Portfolio_Split row 30. No change to headline CAPEX.</t>
        </is>
      </c>
    </row>
    <row r="4" ht="15" customHeight="1">
      <c r="A4" s="2" t="inlineStr">
        <is>
          <t>Nippon Steel</t>
        </is>
      </c>
      <c r="B4" s="2" t="inlineStr">
        <is>
          <t>Japan</t>
        </is>
      </c>
      <c r="C4" s="2" t="inlineStr">
        <is>
          <t>Yawata 2.0Mtpa + Hirohata 0.5Mtpa + Shunan 0.4Mtpa EAF + Super COURSE50</t>
        </is>
      </c>
      <c r="D4" s="2" t="n">
        <v>6</v>
      </c>
      <c r="E4" t="n">
        <v>2.9</v>
      </c>
      <c r="F4" t="n">
        <v>2069</v>
      </c>
      <c r="G4" s="2" t="inlineStr">
        <is>
          <t>0.3-80 (Scrap EAF + COURSE50)</t>
        </is>
      </c>
      <c r="H4" s="2" t="inlineStr">
        <is>
          <t>30% by 2030</t>
        </is>
      </c>
      <c r="I4" s="2" t="n">
        <v>267</v>
      </c>
      <c r="J4" s="2" t="inlineStr">
        <is>
          <t>Medium-High</t>
        </is>
      </c>
      <c r="K4" s="2" t="inlineStr">
        <is>
          <t>Gap 1/2/5</t>
        </is>
      </c>
      <c r="L4" s="2" t="inlineStr">
        <is>
          <t>CAPEX CORRECTED Apr2026: JPY 868.7B (~$6.0B) across Yawata+Hirohata+Shunan, ~2.9Mtpa, 3.7MtCO2/yr cut. Yawata (Kyushu Works) 2.0Mtpa EAF alone = JPY 630.2B ($3.97B) with up to JPY 179.9B gov subsidy, start H1 FY2028 (Apr–Sep 2028; updated from prior FY2029 estimate); Tenova/GE Vernova Consteel 340t (world-largest EAF). Hirohata 0.5Mtpa start H2 FY2029; Shunan 0.4Mtpa restart. Construction formally commenced Apr 2026 per SteelOrbis/GMK. Separately, all 6 BFs scheduled for reline/major repair by 2030 (Gary Works reline begins 2026) → net-net EAF progress + BF life extension creates structural ambiguity. | RE-VERIFIED 2026-05-27 (Day 3): NSC domestic decarb CAPEX ~$6.0B (Yawata $3.97B + Hirohata $0.92B + Shunan $0.6B + Super COURSE50 $0.3B + Kimitsu BF demo + Hasaki DRI). NSC 2030 Plan ¥6T total ($40B) includes overseas (USS $11B). Domestic decarb-allocated subset = $6.0B; overseas BF lock-in via USS already broken out in Tech_Portfolio_Split rows 33-34. No change to headline domestic CAPEX.</t>
        </is>
      </c>
    </row>
    <row r="5" ht="15" customHeight="1">
      <c r="A5" s="2" t="inlineStr">
        <is>
          <t>JFE Steel</t>
        </is>
      </c>
      <c r="B5" s="2" t="inlineStr">
        <is>
          <t>Japan</t>
        </is>
      </c>
      <c r="C5" s="2" t="inlineStr">
        <is>
          <t>Kurashiki 2Mtpa EAF (FID Apr2025; start Apr-Jun 2028)</t>
        </is>
      </c>
      <c r="D5" s="2" t="n">
        <v>2.2</v>
      </c>
      <c r="E5" t="n">
        <v>2</v>
      </c>
      <c r="F5" t="n">
        <v>1100</v>
      </c>
      <c r="G5" s="2" t="inlineStr">
        <is>
          <t>0.3-30 (Scrap EAF)</t>
        </is>
      </c>
      <c r="H5" s="2" t="inlineStr">
        <is>
          <t>30% by 2030</t>
        </is>
      </c>
      <c r="I5" s="2" t="n">
        <v>154</v>
      </c>
      <c r="J5" s="2" t="inlineStr">
        <is>
          <t>High</t>
        </is>
      </c>
      <c r="K5" s="2" t="inlineStr">
        <is>
          <t>Gap 1/5</t>
        </is>
      </c>
      <c r="L5" s="2" t="inlineStr">
        <is>
          <t>CAPEX CORRECTED Apr2026: ~$2.2B Kurashiki EAF. No.2 BF (4,100m3) last relined 2003; next reline due ~2028 (25yr cycle); EAF timed to avoid reline → structural BF retirement decision confirmed. Most cost-efficient tech among peers — low MACC range, single-tech bet, clear interim target. | UPDATE 2026-05-27 (Day 3): JFE-Itochu-Emirates Steel-AD Ports MoU (post-2027 start, delayed from 2H 2025): 2.5Mtpa DRI in Abu Dhabi for export to JFE; ~50% of Kurashiki EAF ferrous feed. Initially NG-DRI, H2-ready option. CAPEX share not yet published — flag as separate Tech_Portfolio_Split row when figure disclosed. Methodological note: this offshore DRI procurement is functionally analogous to Kobe Oman HBI (Gap 4 overseas-shift pattern) — JFE+Kobe+NSC all using offshore reduced-iron supply to defer domestic BF retirement decisions. Sources: Argus 2024; GMK Center 2024; JFE Steel PR 2023-07-18.</t>
        </is>
      </c>
    </row>
    <row r="6" ht="15" customHeight="1">
      <c r="A6" s="2" t="inlineStr">
        <is>
          <t>Kobe Steel</t>
        </is>
      </c>
      <c r="B6" s="2" t="inlineStr">
        <is>
          <t>Japan</t>
        </is>
      </c>
      <c r="C6" s="2" t="inlineStr">
        <is>
          <t>Midrex NG-DRI (Oman HBI JV) + limited domestic EAF + Kakogawa scrap-melter option (700ktpa, FY2027 FID)</t>
        </is>
      </c>
      <c r="D6" s="2" t="n">
        <v>1.05</v>
      </c>
      <c r="E6" t="n">
        <v>2</v>
      </c>
      <c r="F6" t="n">
        <v>525</v>
      </c>
      <c r="G6" s="2" t="inlineStr">
        <is>
          <t>27.5-50 (NG-DRI 2050)</t>
        </is>
      </c>
      <c r="H6" s="2" t="inlineStr">
        <is>
          <t>30% by 2030</t>
        </is>
      </c>
      <c r="I6" s="2" t="n">
        <v>219</v>
      </c>
      <c r="J6" s="2" t="inlineStr">
        <is>
          <t>Medium</t>
        </is>
      </c>
      <c r="K6" s="2" t="inlineStr">
        <is>
          <t>Gap 1/4/5</t>
        </is>
      </c>
      <c r="L6" s="2" t="inlineStr">
        <is>
          <t>CAPEX CORRECTED Apr2026: ~$1.05B (revised down from $2.09B — signals cost realism). Oman Midrex HBI commercialization play; exports HBI tech but limited domestic transformation. Budget halving itself is a Gap 1 datapoint (framework scoring does not penalize CAPEX retreat). | UPDATE 2026-05-27 (Day 3): Kobe Steel 2026-05 announcement (SteelOrbis/Kallanish): Kakogawa Works scrap melting furnace, 700ktpa capacity, ~JPY 100B (~$670M), FID in next medium-term plan (FY2027), commercial start early 2030s. Process MIXES BF hot metal with EAF molten steel inside converter — partial decarb (~30-40% CO2 reduction), NOT full BF retirement. This is the '2026-01 revival' referenced in May-25 Day 1 — actually crystallized in May-26 disclosure. Gap 5 implication: Kakogawa BF lock-in PRESERVED, scrap melter retrofitted alongside. Implied total decarb budget: $1.05B (May-25 cut) + $0.67B (May-26 Kakogawa) = $1.72B aggregate, but Oman HBI JV remains the marquee project — Kakogawa scrap-melter is incremental, not transformational.</t>
        </is>
      </c>
    </row>
    <row r="7" ht="26.25" customHeight="1">
      <c r="A7" s="2" t="inlineStr">
        <is>
          <t>LG Chem</t>
        </is>
      </c>
      <c r="B7" s="2" t="inlineStr">
        <is>
          <t>Korea</t>
        </is>
      </c>
      <c r="C7" s="2" t="inlineStr">
        <is>
          <t>Bio-feedstock (HVO) + Renewables PPA</t>
        </is>
      </c>
      <c r="D7" s="2" t="n">
        <v>1.2</v>
      </c>
      <c r="E7" t="n">
        <v>0.3</v>
      </c>
      <c r="F7" t="n">
        <v>4000</v>
      </c>
      <c r="G7" s="2" t="inlineStr">
        <is>
          <t>80-150 (bio) + (-5)</t>
        </is>
      </c>
      <c r="H7" s="2" t="inlineStr">
        <is>
          <t>50% by 2030</t>
        </is>
      </c>
      <c r="I7" s="2" t="inlineStr">
        <is>
          <t>N/A</t>
        </is>
      </c>
      <c r="J7" s="2" t="inlineStr">
        <is>
          <t>Medium</t>
        </is>
      </c>
      <c r="K7" s="2" t="inlineStr">
        <is>
          <t>Gap 1/2</t>
        </is>
      </c>
      <c r="L7" s="2" t="inlineStr">
        <is>
          <t>LG-Eni BioRefining JV (51% LG Chem / 49% Enilive) groundbreaking Aug 2025 at Daesan; completion 2027. Processing capacity ~400,000 t/yr renewable bio-feedstock (prev sheet said 300kt — revised per Enilive Aug 2025 PR); outputs SAF + HVO + bio-naphtha using Eni Ecofining. Yeosu 615 GWh/20yr wind PPA active. PC chemical recycling demo 2026. Yeosu NCC JV w/ GS Caltex (33.3% each with YNCC → Lotte+Hanwha+DL) KFTC review filed Mar 2026 — structural consolidation (Gap 5 petchem parallel).</t>
        </is>
      </c>
    </row>
    <row r="8" ht="26.25" customHeight="1">
      <c r="A8" s="2" t="inlineStr">
        <is>
          <t>Mitsubishi/Mitsui/Asahi</t>
        </is>
      </c>
      <c r="B8" s="2" t="inlineStr">
        <is>
          <t>Japan</t>
        </is>
      </c>
      <c r="C8" s="2" t="inlineStr">
        <is>
          <t>Joint ethylene CN (Setouchi LLP 45/45/10 Mitsui/Mitsubishi/Asahi) — Mizushima exit, Takaishi consolidation by 2030</t>
        </is>
      </c>
      <c r="D8" s="2" t="inlineStr">
        <is>
          <t>TBD (~$0.3-0.5B study phase)</t>
        </is>
      </c>
      <c r="F8" t="inlineStr">
        <is>
          <t>N/A</t>
        </is>
      </c>
      <c r="G8" s="2" t="inlineStr">
        <is>
          <t>50-150 range</t>
        </is>
      </c>
      <c r="H8" s="2" t="inlineStr">
        <is>
          <t>2050 CN</t>
        </is>
      </c>
      <c r="I8" s="2" t="inlineStr">
        <is>
          <t>N/A</t>
        </is>
      </c>
      <c r="J8" s="2" t="inlineStr">
        <is>
          <t>Low</t>
        </is>
      </c>
      <c r="K8" s="2" t="inlineStr">
        <is>
          <t>Gap 2/4</t>
        </is>
      </c>
      <c r="L8" s="2" t="inlineStr">
        <is>
          <t>Mitsubishi/Mitsui/Asahi joint western-Japan ethylene CN feasibility study. GX-ETS price band ¥4-6k/tCO2 (~$27-40) from FY2026 likely triggers FID; still no committed CAPEX. Joint-venture approach is itself a Gap 4 (sector-level benchmark) concern: framework scoring would credit each participant for the full project. | UPDATE 2026-05-27 (Day 3, Ref #166 May 12 2026 announcement): Setouchi Ethylene LLP equity ratio FINALIZED Mitsui 45% / Mitsubishi 45% / Asahi 10% (NOT 33/33/33 as earlier-cycle assumption). LLP established Aug 19, 2025; joint operating entity 2026-01 basic agreement → equity split 2026-05-12. Mizushima (AMEC) ethylene discontinued by 2030; consolidated at Osaka Petrochemical Industries (Mitsui subsidiary, Takaishi, 455ktpa). METI FY2025 HtA Support Program selected (subsidy amount TBD). Update Primary_Technology_Bet column to reflect 45/45/10 split. Methodological flag: CAP Gap 4 (technology cost gap) — this asymmetric equity split means Asahi gets out cheap (10% of remaining CAPEX) while bearing Mizushima asset write-down; the LCOA must allocate CAPEX by equity share, not by participating-company count.</t>
        </is>
      </c>
    </row>
    <row r="9">
      <c r="A9" t="inlineStr">
        <is>
          <t>Hanwha Solutions</t>
        </is>
      </c>
      <c r="B9" t="inlineStr">
        <is>
          <t>Korea</t>
        </is>
      </c>
      <c r="C9" t="inlineStr">
        <is>
          <t>Yeochun NCC consolidation + Solar PV CAPEX (carve-out)</t>
        </is>
      </c>
      <c r="D9" t="n">
        <v>0.45</v>
      </c>
      <c r="F9" t="inlineStr">
        <is>
          <t>N/A (consolidation)</t>
        </is>
      </c>
      <c r="G9" t="inlineStr">
        <is>
          <t>N/A (structural)</t>
        </is>
      </c>
      <c r="H9" t="inlineStr">
        <is>
          <t>2026-27 shutdown</t>
        </is>
      </c>
      <c r="I9" t="inlineStr">
        <is>
          <t>N/A</t>
        </is>
      </c>
      <c r="J9" t="inlineStr">
        <is>
          <t>Low (petchem) / N/A (solar reclassified)</t>
        </is>
      </c>
      <c r="K9" t="inlineStr">
        <is>
          <t>Gap 1/5</t>
        </is>
      </c>
      <c r="L9" t="inlineStr">
        <is>
          <t>NEW 2026-05-20 (Day 3 carve-out): Hanwha Solutions 1.8144T KRW rights offering use-of-proceeds (DART 2026-05-14, #147) is 50/50 split — KRW 907.7B (~$680M) SOLAR PV facility CAPEX (perovskite tandem + GW-scale mass production by 2029 + TOPCon expansion) + KRW 906.7B (~$680M) DEBT REPAYMENT. NEITHER LINE IS PETCHEM DECARBONIZATION. Hanwha PETCHEM decarbonization is purely structural (Yeochun NCC Plant 2 shutdown 2026-27 w/ DL; consolidation into Lotte Yeosu). FSS demanded 3 amendments to disclosure; size cut KRW 2.4T → 1.8T (-25%). Hyundai Q1 2026 + NSC FY2025 -95% + Hanwha 50/50 split = 3-anchor evidence for proposed Gap 6 financial-constraint × CAPEX-absorption capacity addition. CRITICAL: framework scoring tends to credit "1.8T green CAPEX" announcement against decarbonization; CAP GCDF methodology should apply 0% weight on the debt-repayment half AND require reclassification of the solar half as renewable-energy CAPEX, not industrial-process decarbonization.</t>
        </is>
      </c>
    </row>
    <row r="10">
      <c r="A10" t="inlineStr">
        <is>
          <t>Asahi Kasei</t>
        </is>
      </c>
      <c r="B10" t="inlineStr">
        <is>
          <t>Japan</t>
        </is>
      </c>
      <c r="C10" t="inlineStr">
        <is>
          <t>Mizushima exit (FY2030) + 10% stake in W. Japan ethylene JV</t>
        </is>
      </c>
      <c r="D10" t="n">
        <v>0.05</v>
      </c>
      <c r="F10" t="inlineStr">
        <is>
          <t>N/A (early retirement)</t>
        </is>
      </c>
      <c r="G10" t="inlineStr">
        <is>
          <t>N/A (structural)</t>
        </is>
      </c>
      <c r="H10" t="inlineStr">
        <is>
          <t>5-product-line exit by FY2030</t>
        </is>
      </c>
      <c r="I10" t="inlineStr">
        <is>
          <t>N/A (life compression)</t>
        </is>
      </c>
      <c r="J10" t="inlineStr">
        <is>
          <t>Low</t>
        </is>
      </c>
      <c r="K10" t="inlineStr">
        <is>
          <t>Gap 4/5/6</t>
        </is>
      </c>
      <c r="L10" t="inlineStr">
        <is>
          <t>NEW 2026-05-20 (Day 3): Asahi Kasei Mizushima cluster exit primary-source (Asahi Kasei + Mitsui PR 2026-05-12 + ICIS/C&amp;EN 2026-05; #146). AMEC Mizushima cracker SHUT FY2030 + SM + LDPE + HDPE + 200ktpa ACN + PC-diol all DISCONTINUED. Asahi 10% equity (vs Mitsui 45 / Mitsubishi 45) in new western-Japan ethylene JV (finalized 2026-05-12) signals reduced commitment — JV CAPEX phase TBD; Asahi Revolefin (bioethanol→olefins) tech under consideration at Osaka Petrochemical Industries Takaishi consolidated cracker. PETCHEM Gap 5 ANALOG to BF retirement going OPPOSITE direction from steel (life compression vs life extension). Japan ethylene utilization 70% × 44 months drove the decision; downstream products to existing facilities in S. Korea (Tongsuh ACN absorption) and China.</t>
        </is>
      </c>
    </row>
  </sheetData>
  <autoFilter ref="A1:J1"/>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4"/>
  <sheetViews>
    <sheetView zoomScaleNormal="100" workbookViewId="0">
      <pane ySplit="1" topLeftCell="A2" activePane="bottomLeft" state="frozen"/>
      <selection pane="bottomLeft" activeCell="A1" sqref="A1"/>
    </sheetView>
  </sheetViews>
  <sheetFormatPr baseColWidth="10" defaultColWidth="8.6640625" defaultRowHeight="15"/>
  <cols>
    <col width="18" customWidth="1" min="1" max="1"/>
    <col width="27" customWidth="1" min="2" max="2"/>
    <col width="30" customWidth="1" min="3" max="3"/>
    <col width="33" customWidth="1" min="4" max="4"/>
    <col width="20" customWidth="1" min="5" max="5"/>
    <col width="16" customWidth="1" min="6" max="6"/>
    <col width="27" customWidth="1" min="7" max="7"/>
    <col width="45" customWidth="1" min="8" max="8"/>
    <col width="60" customWidth="1" min="9" max="9"/>
  </cols>
  <sheetData>
    <row r="1" ht="26.25" customHeight="1">
      <c r="A1" s="1" t="inlineStr">
        <is>
          <t>Scenario</t>
        </is>
      </c>
      <c r="B1" s="1" t="inlineStr">
        <is>
          <t>Carbon_Price_USD_per_tCO2</t>
        </is>
      </c>
      <c r="C1" s="1" t="inlineStr">
        <is>
          <t>Optimal_Steel_Tech_2030</t>
        </is>
      </c>
      <c r="D1" s="1" t="inlineStr">
        <is>
          <t>Optimal_Petrochem_Tech_2030</t>
        </is>
      </c>
      <c r="E1" s="1" t="inlineStr">
        <is>
          <t>POSCO_HyREX_Viable</t>
        </is>
      </c>
      <c r="F1" s="1" t="inlineStr">
        <is>
          <t>JFE_EAF_Viable</t>
        </is>
      </c>
      <c r="G1" s="1" t="inlineStr">
        <is>
          <t>K_ETS_Gap_vs_Optimal</t>
        </is>
      </c>
      <c r="H1" s="1" t="inlineStr">
        <is>
          <t>Notes</t>
        </is>
      </c>
      <c r="I1" s="3" t="inlineStr">
        <is>
          <t>Toyofuku_Effective_Price_USD_per_tCO2 (= Nominal × (1−Free_Alloc) × (1+CBAM_Offset))</t>
        </is>
      </c>
      <c r="J1" t="inlineStr">
        <is>
          <t>Transition_Taxonomy_Alignment (K-Taxonomy 2022 / Japan CT 2021 vs EU Taxonomy — qualitative score per Ref #165)</t>
        </is>
      </c>
    </row>
    <row r="2" ht="15" customHeight="1">
      <c r="A2" s="2" t="inlineStr">
        <is>
          <t>K-ETS Current</t>
        </is>
      </c>
      <c r="B2" s="2" t="inlineStr">
        <is>
          <t>~9.5-11.7 (KAU25 KRW 13,750/$9.53/t Mar 2026 Carbon Pulse high; May 2026 monthly auction continued to clear higher MoM per Carbon Pulse 2026-05-13; KAU spot drifted KRW 13,750→17,000 range Mar-May 2026; govt projects KRW 20,000 mid-Phase 4 = ~$14)</t>
        </is>
      </c>
      <c r="C2" s="2" t="inlineStr">
        <is>
          <t>Energy Efficiency only</t>
        </is>
      </c>
      <c r="D2" s="2" t="inlineStr">
        <is>
          <t>Energy Efficiency only</t>
        </is>
      </c>
      <c r="E2" s="2" t="inlineStr">
        <is>
          <t>No</t>
        </is>
      </c>
      <c r="F2" s="2" t="inlineStr">
        <is>
          <t>Marginal</t>
        </is>
      </c>
      <c r="G2" s="2" t="inlineStr">
        <is>
          <t>-$50 to -$98 gap (still 7x below EU)</t>
        </is>
      </c>
      <c r="H2" s="2" t="inlineStr">
        <is>
          <t>K-ETS Phase 4 LIVE since Jan 1 2026. K-MSR approved Apr 2026 (Enforcement Decree amendment; detailed bands by Aug 2026). Power-sector auction phase-in: 2026=15%, 2027=20%, 2028=30%, 2029=40%, 2030=50%. Non-power 15% auction rate. Phase 4 aggregate: 2.1B free / 260M auctioned / 85M K-MSR / 89M new entrants reserve. KRX KAU futures launch H2-2026.</t>
        </is>
      </c>
      <c r="J2" t="inlineStr">
        <is>
          <t>K-Taxonomy 2022 = PERMISSIVE: LNG transitional + ammonia/H2 co-firing permitted (gas &lt;340g/kWh classified 'green' 2030-2035). NO benchmark tied to EU Taxonomy; misaligned with EU TSC for steel/petchem 'Do No Significant Harm' standard.</t>
        </is>
      </c>
    </row>
    <row r="3" ht="15" customHeight="1">
      <c r="A3" s="2" t="inlineStr">
        <is>
          <t>GX-ETS Start</t>
        </is>
      </c>
      <c r="B3" s="2" t="inlineStr">
        <is>
          <t>10.95-27.7 (¥1,700-4,300 corridor; mandatory phase live since 2026-04-01; ~1 month into trading; no published spot print yet — METI/J-Credit data still pending May 2026)</t>
        </is>
      </c>
      <c r="C3" s="2" t="inlineStr">
        <is>
          <t>EE + Scrap EAF</t>
        </is>
      </c>
      <c r="D3" s="2" t="inlineStr">
        <is>
          <t>EE + some CCS</t>
        </is>
      </c>
      <c r="E3" s="2" t="inlineStr">
        <is>
          <t>No</t>
        </is>
      </c>
      <c r="F3" s="2" t="inlineStr">
        <is>
          <t>Yes</t>
        </is>
      </c>
      <c r="G3" s="2" t="inlineStr">
        <is>
          <t>-$34 to -$99 gap</t>
        </is>
      </c>
      <c r="H3" s="2" t="inlineStr">
        <is>
          <t>Floor ¥1,700 ($11.0) reflects historical J-Credit price; ceiling ¥4,300 ($27.7) ≈ coal→LNG switch cost. Annual escalator inflation+3%. METI 2026-04 indicates 4.5 trillion JPY GX debt guarantees from FY2026. Mandatory cover: companies &gt;100k tCO2/yr — covers all 4 Japanese steelmakers + 3 petchem majors in CAP set.</t>
        </is>
      </c>
      <c r="J3" t="inlineStr">
        <is>
          <t>Japan Climate Transition Bond 2021 framework = PERMISSIVE: GX bonds finance ammonia/H2 co-firing + LNG infrastructure. Climate Bonds Initiative DECLINED to certify subsequent JP GX bonds citing ammonia co-firing incompatible with credible decarb pathway (GreenCentralBanking 2026-05-06).</t>
        </is>
      </c>
    </row>
    <row r="4" ht="15" customHeight="1">
      <c r="A4" s="2" t="inlineStr">
        <is>
          <t>EU-ETS Level</t>
        </is>
      </c>
      <c r="B4" s="2" t="inlineStr">
        <is>
          <t>~80.4-83.6 (EUA May 2026 avg €74.04/t per IndexBox, range €74-77; May 6 close €76/t; Apr 2026 avg €72/t; Reuters analyst avg forecast for 2026 cut to €80.61 in late-Apr survey (from €92.65 in Jan), 2027 to €93.29 (from €107.29); 6-mo avg Nov 2025-Apr 2026 €76.66)</t>
        </is>
      </c>
      <c r="C4" s="2" t="inlineStr">
        <is>
          <t>EE + EAF + BF-CCS</t>
        </is>
      </c>
      <c r="D4" s="2" t="inlineStr">
        <is>
          <t>EE + CCS + some electrification</t>
        </is>
      </c>
      <c r="E4" s="2" t="inlineStr">
        <is>
          <t>Marginal</t>
        </is>
      </c>
      <c r="F4" s="2" t="inlineStr">
        <is>
          <t>Yes</t>
        </is>
      </c>
      <c r="G4" s="2" t="inlineStr">
        <is>
          <t>Breakeven for BF-CCS; EAF + scrap fully economic</t>
        </is>
      </c>
      <c r="H4" s="2" t="inlineStr">
        <is>
          <t>EU-ETS Phase 4 supply -8% in 2026 vs 2025 (mechanical tightening). MSR amendment Apr 1 2026 stops invalidation mechanism → allowances kept as buffer. May 11 2026: EC released updated 2026-2030 reference values → MORE free allocation (covers ~75% of industrial emissions; saves industry est. €4B). May 7 2026: EU+Brazil+China launched 'open coalition on carbon market compliance' (NZ + Germany first joiners; Brazil chairs first 2 yrs). Major ETS review scheduled July 2026.</t>
        </is>
      </c>
      <c r="J4" t="inlineStr">
        <is>
          <t>EU Taxonomy = STRICTEST: hard TSC thresholds for steel (≤1.331 tCO2/t crude steel for primary; ≤0.209 tCO2/t for EAF route) and chemicals. NO LNG/ammonia co-firing eligibility for green bond classification under EU TSC.</t>
        </is>
      </c>
    </row>
    <row r="5" ht="26.25" customHeight="1">
      <c r="A5" s="2" t="inlineStr">
        <is>
          <t>Paris-aligned</t>
        </is>
      </c>
      <c r="B5" s="2" t="n">
        <v>125</v>
      </c>
      <c r="C5" s="2" t="inlineStr">
        <is>
          <t>EAF + NG-DRI + BF-CCS</t>
        </is>
      </c>
      <c r="D5" s="2" t="inlineStr">
        <is>
          <t>CCS + Electric cracker</t>
        </is>
      </c>
      <c r="E5" s="2" t="inlineStr">
        <is>
          <t>Approaching viable</t>
        </is>
      </c>
      <c r="F5" s="2" t="inlineStr">
        <is>
          <t>Yes</t>
        </is>
      </c>
      <c r="G5" s="2" t="inlineStr">
        <is>
          <t>H2-DRI approaching viable</t>
        </is>
      </c>
      <c r="H5" s="2" t="inlineStr">
        <is>
          <t>Most technologies viable; H2-DRI competitive at &gt;$110</t>
        </is>
      </c>
      <c r="J5" t="inlineStr">
        <is>
          <t>Hypothetical alignment with IEA NZE — would require taxonomy convergence on H2/CCS-only routes, exclusion of unabated LNG and ammonia co-firing. Currently NO Asian taxonomy meets this bar.</t>
        </is>
      </c>
    </row>
    <row r="6" ht="15" customHeight="1">
      <c r="A6" s="2" t="inlineStr">
        <is>
          <t>Net-Zero Pathway</t>
        </is>
      </c>
      <c r="B6" s="2" t="n">
        <v>200</v>
      </c>
      <c r="C6" s="2" t="inlineStr">
        <is>
          <t>H2-DRI + EAF + CCS portfolio</t>
        </is>
      </c>
      <c r="D6" s="2" t="inlineStr">
        <is>
          <t>Electric cracker + CCS + bio</t>
        </is>
      </c>
      <c r="E6" s="2" t="inlineStr">
        <is>
          <t>Yes</t>
        </is>
      </c>
      <c r="F6" s="2" t="inlineStr">
        <is>
          <t>Yes</t>
        </is>
      </c>
      <c r="G6" s="2" t="inlineStr">
        <is>
          <t>All major techs viable</t>
        </is>
      </c>
      <c r="H6" s="2" t="inlineStr">
        <is>
          <t>Full portfolio approach economically rational</t>
        </is>
      </c>
      <c r="J6" t="inlineStr">
        <is>
          <t>Full alignment scenario assumes regional taxonomies converge to EU-level TSC by 2030. Not currently embodied in K-Taxonomy or Japan CT.</t>
        </is>
      </c>
    </row>
    <row r="7">
      <c r="A7" t="inlineStr">
        <is>
          <t>CBAM-Adjusted Import (2026)</t>
        </is>
      </c>
      <c r="B7" t="inlineStr">
        <is>
          <t>~2.13 effective in 2026 (2.5% phase-in × €75.36/t Q1 CBAM official price 2026-04-07 EC); Q2 CBAM publishes 2026-07-06 (Q1 avg-of-EUA-auctions method); default-value markup +10% 2026, +20% 2027, +30% 2028</t>
        </is>
      </c>
      <c r="C7" t="inlineStr">
        <is>
          <t>Minimal impact on import economics</t>
        </is>
      </c>
      <c r="D7" t="inlineStr">
        <is>
          <t>Not yet covered</t>
        </is>
      </c>
      <c r="E7" t="inlineStr">
        <is>
          <t>No</t>
        </is>
      </c>
      <c r="F7" t="inlineStr">
        <is>
          <t>Marginal</t>
        </is>
      </c>
      <c r="G7" t="inlineStr">
        <is>
          <t>CBAM impact negligible at 2.5% phase-in</t>
        </is>
      </c>
      <c r="H7" t="inlineStr">
        <is>
          <t>Q1 2026 CBAM official price €75.36/t (EC Apr 7 2026). Q2 release 2026-07-06. Default values are now country×product-specific (replaced global averages). Markup schedule designed to push importers to actual-data filing. Korean BF-BOF benchmark 2.6-3.5 tCO2/t → HRC surcharge €196-264/t at full pass-through, €4.9-6.6/t at 2026 2.5% phase-in. EC missions to Korea + Japan held to discuss CBAM implementation.</t>
        </is>
      </c>
      <c r="J7" t="inlineStr">
        <is>
          <t>EU TSC applied at the border via CBAM benchmark (1.30 tCO2/t crude steel for free-alloc benchmark). POSCO 2.127 tCO2/t = 64% over benchmark → 0.827 tCO2/t penalty fully taxable from day-1 (TTI Korea CBAM Intelligence 2026).</t>
        </is>
      </c>
    </row>
    <row r="8">
      <c r="A8" t="inlineStr">
        <is>
          <t>K-ETS Phase 4 Projected (2028-2030)</t>
        </is>
      </c>
      <c r="B8" t="inlineStr">
        <is>
          <t>~14-20 expected (KRW 20-29k mid-Phase 4); 2027 power auction step-up (15→20%) + KRX KAU futures launch 2026 + MSR live = upside path</t>
        </is>
      </c>
      <c r="C8" t="inlineStr">
        <is>
          <t>EE + Scrap EAF marginal</t>
        </is>
      </c>
      <c r="D8" t="inlineStr">
        <is>
          <t>EE only</t>
        </is>
      </c>
      <c r="E8" t="inlineStr">
        <is>
          <t>No</t>
        </is>
      </c>
      <c r="F8" t="inlineStr">
        <is>
          <t>Marginal-Yes</t>
        </is>
      </c>
      <c r="G8" t="inlineStr">
        <is>
          <t>-$43 to -$90 gap</t>
        </is>
      </c>
      <c r="H8" t="inlineStr">
        <is>
          <t>Korea govt projection KRW ~20,000 by mid-Phase 4 (~$14). Power-sector auction phase-in: 15% (2026), 20% (2027), 30% (2028), 40% (2029), 50% (2030). Industrials (steel/petchem) at 100% free until 2030 then 15% auction. POSCO/Hyundai Steel expected to be SHORT free allowances despite 100% allocation due to Phase 4 -17.9% cap (KOSA 2026).</t>
        </is>
      </c>
      <c r="J8" t="inlineStr">
        <is>
          <t>K-Taxonomy + K-ETS Phase 4 remain MISALIGNED with EU TSC. Korea CBAM-deductible €2.92/tCO2 covers only 3.4% of EU reference → effective-price erosion structurally embedded (TTI 2026).</t>
        </is>
      </c>
    </row>
    <row r="9">
      <c r="A9" t="inlineStr">
        <is>
          <t>K-ETS Apr 2026 Surge + KR Petchem Electrification Plan</t>
        </is>
      </c>
      <c r="B9" t="inlineStr">
        <is>
          <t>11.35 spot K-ETS; +91 trillion KRW NCC electrification CAPEX estimate</t>
        </is>
      </c>
      <c r="C9" t="inlineStr">
        <is>
          <t>EE + Scrap EAF (no change at $11)</t>
        </is>
      </c>
      <c r="D9" t="inlineStr">
        <is>
          <t>Electric NCC ($/tCO2 still uneconomic at K-ETS but signaled as policy direction)</t>
        </is>
      </c>
      <c r="E9" t="inlineStr">
        <is>
          <t>No</t>
        </is>
      </c>
      <c r="F9" t="inlineStr">
        <is>
          <t>Marginal</t>
        </is>
      </c>
      <c r="G9" t="inlineStr">
        <is>
          <t>K-ETS still 7x below EU; KR petchem electrification CAPEX 91 trillion KRW vs MACC unfavorable</t>
        </is>
      </c>
      <c r="H9" t="inlineStr">
        <is>
          <t>WEEK-OF-APR-30 EVENT BUNDLE: (1) KAU25 KRW 16,700 ($11.35) on 2026-04-26 (OPIS), +21% w/w. (2) K-MSR (quantity-based) Phase 4 amendment approved late Apr 2026. (3) ROK Climate-Energy Min. Kim Seong-Hwan Cabinet plan 2026-04-06 prioritizes 'electric NCC + process efficiency' for petchem. (4) Yeosu/Daesan/Ulsan NCC electrification: 91.4 TWh/yr ≈ 9 nuclear plants of incremental power; 91 trillion KRW total CAPEX (For Our Climate forum 2026-04-10). (5) Govt mandates 25% NCC capacity cut across 10 petchem groups (3.7 Mtpa naphtha) tied to fiscal/tax support. (6) Coal cap lifted Mar 2026. (7) UNFCCC Climate Week-3 Yeosu 2026-04-21 to 25 — green industrialization theme. CAP IMPLICATION: First time K-ETS price + policy signals are both moving in same direction; yet absolute K-ETS price still leaves all transition tech LCOA gaps uncovered → Gap 3 persists.</t>
        </is>
      </c>
      <c r="J9" t="inlineStr">
        <is>
          <t>K-Taxonomy permits 91 trillion KRW NCC electrification but does NOT require it; bond labeling under K-Taxonomy can co-exist with continued steam-cracker furnace fossil burn. Mismatch with EU Taxonomy chemicals TSC.</t>
        </is>
      </c>
    </row>
    <row r="10">
      <c r="A10" t="inlineStr">
        <is>
          <t>Week 5 Day 4 (2026-05-07) Update Snapshot</t>
        </is>
      </c>
      <c r="B10" t="inlineStr">
        <is>
          <t>K-ETS ~$11.5 / GX-ETS corridor $11-27.7 (binding) / EU-ETS €75.97 ≈ $83.6 / CBAM Q1 €75.36 (Q2 due 2026-07-06)</t>
        </is>
      </c>
      <c r="C10" t="inlineStr">
        <is>
          <t>EE only Korea; EE+Scrap EAF Japan@floor; EE+EAF+BF-CCS EU</t>
        </is>
      </c>
      <c r="D10" t="inlineStr">
        <is>
          <t>EE only Korea; some CCS Japan@ceiling; EE+CCS EU</t>
        </is>
      </c>
      <c r="E10" t="inlineStr">
        <is>
          <t>No (KR)</t>
        </is>
      </c>
      <c r="F10" t="inlineStr">
        <is>
          <t>Yes (JP) – cleared GX-ETS floor</t>
        </is>
      </c>
      <c r="G10" t="inlineStr">
        <is>
          <t>JP-KR carbon-price gap WIDENED: GX-ETS binding floor $11 = K-ETS spot $11.5 — but GX ceiling $27.7 ≥ JFE EAF MACC; K-ETS still has no upside corridor</t>
        </is>
      </c>
      <c r="H10" t="inlineStr">
        <is>
          <t>TRIANGULATION SNAPSHOT (Week 5 Day 4, 2026-05-07): (1) K-ETS spot ~KRW 17,000 ($11.5); MSR + coal-cap-lift bullish vs allocation; (2) GX-ETS mandatory phase ~5 weeks in — first binding floor ¥1,700 ($11) = K-ETS spot, but Japan ceiling ¥4,300 ($27.7) creates real upside threat for Nippon/JFE/Kobe — $27.7 ALREADY EXCEEDS JFE Kurashiki EAF MACC ($0.3-3) AND POSCO Energy Efficiency ($0-10); (3) EU-ETS €75.97 (May 6) = $83.6 — DRI/green H2 newly free-allocable (Phase 4 benchmark update) = EU now SUBSIDIZES H2-DRI vs pre-2026 full ETS exposure; (4) CBAM markup +10% in 2026, +20% 2027, +30% 2028 on default values — Korean/JP exporters lose pricing power vs EU-domestic if no actual-data filing; (5) Korea NCC electrification policy (2026-04-06 Cabinet) signals direction but K-ETS price still 7x below EU = policy-price disconnect remains the core CAP Gap 3 finding.</t>
        </is>
      </c>
      <c r="J10" t="inlineStr">
        <is>
          <t>JP and KR taxonomies both permissive on ammonia/H2 co-firing; EU TSC excludes. Carbon-price gap COMPOUNDS taxonomy gap = double-divergence.</t>
        </is>
      </c>
    </row>
    <row r="11" ht="409.6" customHeight="1">
      <c r="A11" s="5" t="inlineStr">
        <is>
          <t>Week 6 Day 4 (2026-05-14) Update Snapshot</t>
        </is>
      </c>
      <c r="B11" s="5" t="inlineStr">
        <is>
          <t>K-ETS ~$11.5 spot (KAU25 KRW ~17,000; no fresh OPIS print May 11-14 wk; KRX KAU futures roadmap confirmed launch H2-2026; gov target KRW 20,000 mid-Phase 4 = $14 nominal — implies +~75% upside path 2028-2030 but absolute level still 7x below EU) / GX-ETS corridor $11.0-27.7 (still no published spot print; S&amp;P Global Apr 8 2026: 'demand muted as companies await allocation clarity' — baselines NOT published, autumn-2026-or-later per METI; floor ¥1,700 binding since Apr 1) / EU-ETS €74.45 = $82.0 (May 13 2026 close, TradingEconomics, -1.75% d/d from €75.79 May 12; 6-mo avg Nov 2025-Apr 2026 €76.66; price-fluctuation trigger level €164.89; MSR absorbing 275.5M alw Sept 2025-Aug 2026) / CBAM Q1 €75.36 still official (Q2 publishes 2026-07-06)</t>
        </is>
      </c>
      <c r="C11" s="5" t="inlineStr">
        <is>
          <t>EE only Korea; EE+Scrap EAF Japan@floor; EE+EAF+BF-CCS EU</t>
        </is>
      </c>
      <c r="D11" s="5" t="inlineStr">
        <is>
          <t>EE only Korea; some CCS Japan@ceiling; EE+CCS EU</t>
        </is>
      </c>
      <c r="E11" s="5" t="inlineStr">
        <is>
          <t>No (KR — effective price &lt;$1 after 92% free allocation; 8% short × $11.5 = $0.92/tCO2)</t>
        </is>
      </c>
      <c r="F11" s="5" t="inlineStr">
        <is>
          <t>Yes (JP @ ceiling) – nominal $27.7 ≥ JFE Kurashiki EAF MACC ($0.3-3); but effective $0.55-1.39 with 95% free allocation</t>
        </is>
      </c>
      <c r="G11" s="5" t="inlineStr">
        <is>
          <t>JP-KR carbon-price gap UNCHANGED week-over-week. JP GX-ETS still pre-allocation (no spot print 6 weeks in); KR K-ETS still &lt;$12. EU-ETS pulled back -1.75% on May 13 = some near-term softness, but 6-mo avg holding €76.66.</t>
        </is>
      </c>
      <c r="H11" s="5" t="inlineStr">
        <is>
          <t>TRIANGULATION SNAPSHOT WEEK 6 DAY 4 (2026-05-14): (1) K-ETS spot ~KRW 17,000 ($11.5) unchanged from week prior; no fresh public OPIS print May 11-14 wk; KRX confirms KAU futures launch H2 2026 per QC Intel coverage. (2) GX-ETS 6 weeks into mandatory phase — S&amp;P Global confirms 'demand muted, companies await allocation clarity'; METI baselines now expected autumn 2026 or later (1 quarter slip vs initial schedule). No spot price has cleared since Apr 1 mandatory start because no allocation = no scarcity = no marginal price discovery. Floor ¥1,700 ($11) and ceiling ¥4,300 ($27.7) remain the only price reference points. (3) EU-ETS pulled back -1.75% on May 13 (€74.45) from May 12 (€75.79); 6-mo avg Nov 2025-Apr 2026 = €76.66; price-fluctuation Article 29a trigger level €164.89 (2.2x current); MSR absorbing 275.5M alw Sept 2025-Aug 2026 = mechanical Phase 4 tightening continues. (4) CBAM Q1 €75.36 official (Apr 7 announcement); Q2 release 2026-07-06; markup +10% in 2026 on default values, +20% 2027, +30% 2028 — Korean BF-BOF default benchmark 2.6-3.5 tCO2/t = HRC import surcharge €196-264/t at full pass-through, vs €19.6-26.4/t at 2026 phase-in. (5) **NEW METHODOLOGY MODULE — ADB Institute Toyofuku et al. 2025 (Lit #136) effective carbon price formula now applied across CAP 12-company set:**     Eff_Price = Nominal × (1 − Free_Alloc_Share) × (1 + CBAM_Offset_Coef)     For POSCO / Hyundai (K-ETS, 8% short Phase 4 cap): Eff ≈ $0.92/tCO2 — vs HyREX MACC $115/tCO2 = **125x gap**.     For Nippon / JFE / Kobe (GX-ETS, ~5% short benchmark coverage): Eff $0.55-1.39/tCO2 — vs Scrap EAF $0.3-30/tCO2 only the floor end of EAF MACC clears.     For LG Chem / Lotte / SK / Hanwha (K-ETS petchem 100% free): Eff ≈ $0 — vs Electric Cracker MACC $75/tCO2 = **infinite gap**.     For Mitsubishi / Mitsui / Asahi (GX-ETS petchem, ~5% short): Eff $0.55-1.39/tCO2 — vs Coolbrook RDR MACC $65/tCO2 = **47-118x gap**. (6) **CAP Gap 3 quantification — first time the effective-price gap is computed end-to-end with the Toyofuku decomposition**: All 12 CAP companies face effective carbon prices &lt;$1.5/tCO2 in 2026 against transition-tech MACCs of $0.3-160/tCO2 — i.e., **no transition tech beyond Energy Efficiency clears the effective-price hurdle for any CAP company in 2026 under current ETS designs**. Even the EU-ETS at €74.45 nominal only clears EAF + BF-CCS once free allocation drops below 60% (which Phase 4 schedule does NOT achieve for carbon-leakage sectors). (7) **CAP IMPLICATION**: Week-over-week, the policy-price disconnect is STABILIZING at the same gap level. K-ETS+GX-ETS provide no near-term price-based incentive for any company in the CAP set to deploy MACC tech beyond EE. CBAM 2.5% phase-in 2026 adds ~$2/tCO2 effective uplift on exports — still insufficient. The methodological case for CAP Gap 3 ('Carbon Pricing (K-ETS/GX-ETS) Integration 부재') now has a formula-backed quantification: **125x gap (POSCO HyREX), 47x gap (JP petchem Coolbrook), infinite gap (KR petchem electric NCC)**.</t>
        </is>
      </c>
      <c r="I11" s="5" t="inlineStr">
        <is>
          <t>CAP 12-company effective price (Week 6 Day 4): POSCO/Hyundai (KR steel) ≈ $0.92 | Nippon/JFE/Kobe (JP steel) $0.55-1.39 | LG/Lotte/SK/Hanwha (KR petchem) ≈ $0 | Mitsubishi/Mitsui/Asahi (JP petchem) $0.55-1.39 | vs EAF $0.3-40, BF-CCS $36-63, HyREX $65-115, Electric Cracker $35-75, Coolbrook RDR $25-65 — ALL transition tech &gt; 2030 MACC clears nominal EU-ETS only; ZERO clears KR/JP effective price under current Phase 4 / GX-ETS Phase 2 free allocation.</t>
        </is>
      </c>
      <c r="J11" t="inlineStr">
        <is>
          <t>No change WoW. Korea CBAM negotiation strategy (KOSA, KPIA seeking K-ETS recognition for CBAM credit) confirmed by Kallanish 2026 — but TTI 2026 calculates only €2.51/tCO2 product-level deductible, near-zero practical benefit.</t>
        </is>
      </c>
    </row>
    <row r="12" ht="409.6" customHeight="1">
      <c r="A12" s="11" t="inlineStr">
        <is>
          <t>Week 7 Day 4 (2026-05-21) Update Snapshot</t>
        </is>
      </c>
      <c r="B12" s="11" t="inlineStr">
        <is>
          <t>K-ETS ~$9.5-11.7 spot (KAU25 KRW 13,750-17,000; Carbon Pulse 2026-05-13 confirms May auction cleared higher MoM; K-MSR + power-sector auction 15% live Phase 4) / GX-ETS corridor still $11.4-28.7 (no spot print 7 wks in; METI baselines slip to autumn 2026+) / EU-ETS €74.04 May avg ≈ $80.4 (range €74-77; -14% Reuters forecast cut Apr 2026 vs Jan) / CBAM Q1 €75.36 official (Q2 publishes 2026-07-06)</t>
        </is>
      </c>
      <c r="C12" s="11" t="inlineStr">
        <is>
          <t>EE only Korea; EE+Scrap EAF Japan@floor; EE+EAF+BF-CCS EU (free-alloc widened May 11 2026)</t>
        </is>
      </c>
      <c r="D12" s="11" t="inlineStr">
        <is>
          <t>EE only Korea; some CCS Japan@ceiling; EE+CCS EU</t>
        </is>
      </c>
      <c r="E12" s="11" t="inlineStr">
        <is>
          <t>No (KR) — effective price ~$0.92/tCO2 (8% short × $11.5 KAU25)</t>
        </is>
      </c>
      <c r="F12" s="11" t="inlineStr">
        <is>
          <t>Yes (JP @ ceiling nominal $28.7) – but effective $0.55-1.39 with ~95% free allocation</t>
        </is>
      </c>
      <c r="G12" s="11" t="inlineStr">
        <is>
          <t>JP-KR carbon-price gap STABLE WoW. EU policy direction in May 2026 = looser free allocation (May 11 EC reference-value update) → EU-ETS marginal price signal WEAKER for incumbent tech, but EU-Brazil-China May 7 coalition + CBAM Q2 publication (Jul 6) lock in import-side pressure on Korean/JP exporters.</t>
        </is>
      </c>
      <c r="H12" s="11" t="inlineStr">
        <is>
          <t>TRIANGULATION SNAPSHOT WEEK 7 DAY 4 (2026-05-21): (1) **K-ETS**: KAU25 cleared KRW 13,750 ($9.53)/t at Mar 2026 high — strongest since Apr 2023 — up ~33% YTD. Feb auction cleared KRW 12,700/t (+19% MoM, 2.3M bids for 1.2M alw). May 2026 monthly auction (Carbon Pulse 2026-05-13) 'continued to clear at higher prices amid tightening supply'. K-MSR approved via Enforcement Decree amendment (Apr 2026, detailed price bands by Aug 2026). Power-sector auction schedule confirmed: 2026=15%, 2027=20%, 2028=30%, 2029=40%, 2030=50%. (2) **GX-ETS**: 7 weeks into mandatory phase (Apr 1 2026 start). S&amp;P Global confirms 'demand muted as companies await allocation clarity' — METI baselines now expected autumn 2026 or later. JISF May-2025 statement reiterated 'since zero-emission steel is not possible for the time being, we are adding the reduced value to certain products' = JISF still pushing for accommodating allocation methodology. Floor ¥1,700 ($11.36) / Ceiling ¥4,300 ($28.73) for FY2027; +inflation+3% annual escalator. JCM developers publicly disappointed with cap (S&amp;P Global Feb 9 2026). (3) **EU-ETS**: May 2026 month avg €74.04/t (IndexBox); range €74-77 (€76 May 6 close); pulled back from €75.79 May 12. April-2026 month avg €72/t. Reuters analyst panel (late-Apr) CUT 2026 avg forecast to €80.61 from €92.65 in Jan; 2027 to €93.29 from €107.29 = ~13-14% downgrade in 4 months. (4) **CBAM**: Q1 €75.36/t official; Q2 publishes 2026-07-06. (5) **MAJOR EU POLICY EVENT — May 11 2026**: EC released updated 2026-2030 ETS reference values → MORE free allocation, ~75% of industrial emissions covered, est. €4B industry savings vs prior trajectory = NEGATIVE for transition-finance signal because the marginal carbon cost of staying on incumbent tech (BF-BOF, naphtha cracker) drops. (6) **MAJOR DIPLOMATIC EVENT — May 7 2026**: EU+Brazil+China formally launched 'Open Coalition on Carbon Market Compliance' (NZ + Germany first additional members; Brazil chair first 2 yrs, China + EC co-chair). First multilateral framework on MRV + carbon accounting beyond the transitional CBAM dialogues. (7) **MAJOR INDUSTRY EVENT — May 5-8 2026**: HYUNDAI POSCO Louisiana Steel LLC (JV) selected Danieli for hydrogen-ready integrated steel plant in USA — 2.5 Mt/y DRI hot+cold output, NG-H2 mix up to 100%, with CCS. **Implication for CAP**: POSCO + Hyundai are deploying H2-DRI capability OUTSIDE Korea — the technology choice is available but is sited where ITC + IRA + state subsidies + favorable EAF scrap economics stack against K-ETS' ~$0 effective price. This is direct empirical support for CAP Gap 3 (K-ETS does not price transition tech). (8) **CAP IMPLICATION**: WEEK-OVER-WEEK no change in the policy-price disconnect quantification (POSCO/Hyundai effective price still ~$0.92/tCO2; JP steel $0.55-1.39; KR petchem ~$0; JP petchem $0.55-1.39). EU's May-11 free-allocation increase WIDENS the EU-domestic vs EU-importer gap further — Korean/JP exporters face higher CBAM costs in 2027+ while EU-domestic competitors get more free allocation = transition-tech investment economics in KR/JP get RELATIVELY worse, not better, in the new EU equilibrium. The Reuters-survey downgrade (-14% on 2026 EUA forecasts) also signals analysts now expect the EU-ETS to be a weaker MACC-clearing instrument than originally modeled — direct support for CAP's argument that nominal carbon-price scenarios in transition-finance frameworks (TPI/CA100+/SBTi) overstate ETS-driven decarbonization incentive.</t>
        </is>
      </c>
      <c r="I12" s="11" t="inlineStr">
        <is>
          <t>CAP 12-company effective price (Week 7 Day 4): POSCO/Hyundai (KR steel) ≈ $0.92 (unchanged) | Nippon/JFE/Kobe (JP steel) $0.55-1.39 (unchanged) | LG/Lotte/SK/Hanwha (KR petchem) ≈ $0 (unchanged; petchem 100% free Phase 4) | Mitsubishi/Mitsui/Asahi (JP petchem) $0.55-1.39 (unchanged). NEW: EU domestic effective price DROPS in 2026-2030 due to May-11 free-allocation increase = CAP Gap 3 magnitude widens relative to EU baseline; Korean/JP exporter CBAM exposure rises in 2027-2028 (default-value markup +20%/+30%) → 2-rail KR/JP effective-price reality: (domestic ~$0) vs (EU-export net-of-CBAM ~$2 in 2026, ~$8 by 2028).</t>
        </is>
      </c>
      <c r="J12" t="inlineStr">
        <is>
          <t>Free-alloc widening in May 2026 EU benchmark consultation (Carbon Pulse 482433) does NOT change TSC structure — only allocation volumes. Taxonomy-level misalignment persists.</t>
        </is>
      </c>
    </row>
    <row r="13">
      <c r="A13" t="inlineStr">
        <is>
          <t>Week 8 Day 4 (2026-05-28) Update Snapshot</t>
        </is>
      </c>
      <c r="B13" t="inlineStr">
        <is>
          <t>K-ETS ~$9.5-11.7 spot (KAU25 range KRW 13,750 [Carbon Pulse Mar 2026 high]-17,000 [OPIS Apr 26]; no fresh confirmed print May 22-28; Carbon Pulse CP Daily 2026-05-13 last refresh). GX-ETS corridor binding ¥1,700-4,300 ($10.95-27.7) FY2026 (METI/UNFCCC PDF Apr 2026); FY2027-2030 corridor will be annually adjusted +CPI×3% (IEA Policies #19963; ICAP factsheet). EU-ETS late-May 2026 €75-77 range; 2026-05-26 €75.51 (TradingEconomics); 2026-05-28 EUA Yearly futures €76.92 close (Investing.com). CBAM Q1 2026 official €75.36/tCO2e (EC 2026-04-07 confirmed); Q2 2026 indicative €70.50 (early), official publication scheduled 2026-07-06 (S&amp;P 2026-04-08).</t>
        </is>
      </c>
      <c r="C13" t="inlineStr">
        <is>
          <t>EE only Korea; EE+Scrap EAF Japan@floor / EE+Scrap EAF+some CCS Japan@ceiling (binding); EE+EAF+BF-CCS EU (but free-alloc may widen 2026-2030 per EC consultation released May 2026 — steel benchmarks UNCHANGED in totals while chemicals/cement softened, per Carbon Pulse #482433)</t>
        </is>
      </c>
      <c r="D13" t="inlineStr">
        <is>
          <t>EE only Korea; some CCS Japan@ceiling; EE+CCS EU</t>
        </is>
      </c>
      <c r="E13" t="inlineStr">
        <is>
          <t>No (KR) — effective price ~$0.92/tCO2 (8% short × $11.5 KAU25); POSCO benchmark penalty 0.827 tCO2/t (TTI 2026) means CBAM-exposed POSCO exports face €60+/t border bill even with K-ETS payment</t>
        </is>
      </c>
      <c r="F13" t="inlineStr">
        <is>
          <t>Yes (JP @ ceiling nominal $27.7) — but effective $0.55-1.39 with ~95% free alloc; JFE Kurashiki EAF MACC ($0.3-3) economically cleared at GX-ETS ceiling but free-alloc dilution = still negative-NPV without subsidy stack</t>
        </is>
      </c>
      <c r="G13" t="inlineStr">
        <is>
          <t>JP-KR carbon-price gap STABLE WoW; EU-KR gap WIDENED slightly (EU €76 vs K-ETS $9.5-11.7 = $84 vs $11 = 7.6x ratio, biggest since Phase 4 start). EU effective free-alloc reduction rate raised 1.6% → 2.5% p.a. in EC May 2026 consultation = compressed free-alloc pool for steel from 2026 onwards but TOTAL VOLUMES UNCHANGED per leaked EC slides — this is steel-sector POLITICAL accommodation, not technical relaxation.</t>
        </is>
      </c>
      <c r="H13" t="inlineStr">
        <is>
          <t>TRIANGULATION SNAPSHOT WEEK 8 DAY 4 (2026-05-28): (1) **K-ETS**: KAU25 spot still in $9.5-11.7 corridor — Carbon Pulse + S&amp;P print confirmed Mar/Apr/early-May 2026 highs; no later print available for week of May 22-28. K-ETS Phase 4 LIVE since 2026-01-01. K-MSR (Market Stability Reserve) approved Apr 2026 Enforcement Decree but trigger thresholds remain LOOSE. SFOC End the Free Emissions 2025-08 estimates STEEL+PETROCHEM jointly received 69% of all K-ETS free alloc 2015-2024. POSCO+Hyundai 92% free in steel benchmark = 8% short. (2) **GX-ETS**: ¥1,700-4,300 corridor BINDING since 2026-04-01 (FY2026). FY2027-2030 corridor annually re-set with CPI×3% escalator (METI Apr 2026 UNFCCC briefing). BF &amp; EAF steelmakers &gt;100ktCO2/yr COVERED. Allocation rules still pre-disclosure → Carbon Pulse 2026-04-08 'demand muted' confirmed. (3) **EU-ETS**: late-May 2026 €75-77 range, EUA Yr futures €76.92 (2026-05-28 close). EU MSR amendment + maximum free-alloc reduction rate raised 1.6→2.5% p.a. for 2026-2030 phase = mechanical compression. EC May 2026 leaked slides: STEEL benchmark totals UNCHANGED (political accommodation per Eurofer pressure) while CHEMICALS/CEMENT softened. **POLITICAL READ: EU steel got carve-out from benchmark tightening — undermines CBAM credibility for KR/JP steel exporters seeking offset claims.** (4) **CBAM**: Q1 2026 €75.36 official (EC 2026-04-07); Q2 indicative €70.50; next official 2026-07-06. CBAM phase-in still 2.5% in 2026 = effective €1.88/t border price → near-zero today, scales to ~25% by 2027, full by 2034. (5) **POLICY EVENT**: Reuters/Korea Times 2026-04-15 — POSCO Chairman Chang In-hwa attended worldsteel Berlin GA (Apr 13) advocating 'global solidarity' on decarbonization investment, code for CBAM exemption lobbying. (6) **REGRESSION RISK**: Climate Bonds Initiative DECLINED to certify subsequent JP GX bonds citing ammonia co-firing incompatibility (GreenCentralBanking 2026-05-06) — Japan transition-finance label QUALITATIVELY DEGRADED relative to EU GBS taxonomy. (7) **CAP IMPLICATION**: Effective carbon-price gap (KR $0.92 vs JP $0.55-1.39 vs EU €76 ≈ $84) means CAP's MACC-vs-CarbonPrice intersection test produces ZERO economic decarb pressure in KR and minimal in JP for steel CAPEX decisions in FY2026 — vindicates Gap 3 (Carbon Pricing Integration 부재) in TPI/CA100+/SBTi which assume domestic prices internalize externality.</t>
        </is>
      </c>
      <c r="I13" t="inlineStr">
        <is>
          <t>CAP 12-company effective price (Week 8 Day 4 reaffirmed): POSCO/Hyundai (KR steel) ≈ $0.92/tCO2 (8% short × $11.5); NSC/JFE/Kobe (JP steel) ≈ $0.55-1.39/tCO2 (5% short × $11-27.7 corridor); LG Chem/Lotte/SK Geocentric/Hanwha (KR petchem) ≈ $0.92/tCO2 same dilution; Mitsubishi/Mitsui/Asahi Kasei (JP petchem) ≈ $0.55-1.39/tCO2. NO company in CAP universe sees nominal carbon price &gt;$2/tCO2 effective in 2026. EU exports incur additional CBAM ramp €1.88/t in 2026 → €37.7/t in 2034 full phase-in.</t>
        </is>
      </c>
      <c r="J13" t="inlineStr">
        <is>
          <t>K-Taxonomy 2022 + Japan CT 2021 = PERMISSIVE re ammonia/H2 co-firing + LNG. EU Taxonomy = STRICT (1.30 tCO2/t crude steel TSC benchmark; chemicals TSC). REF #165 (GreenCentralBanking 2026-01) — 'weak consensus' between Asian taxonomies on what qualifies as transition. CAP read: TAXONOMY DIVERGENCE COMPOUNDS CARBON-PRICE DIVERGENCE = double-handicap for KR/JP transition-finance integrity scoring.</t>
        </is>
      </c>
    </row>
    <row r="14">
      <c r="A14" s="5" t="inlineStr">
        <is>
          <t>Week 9 Day 4 (2026-06-04) Update Snapshot</t>
        </is>
      </c>
      <c r="B14" s="5" t="inlineStr">
        <is>
          <t>K-ETS ~$9.5-11.7 spot (KAU25 KRW 13,750-17,000 range Mar-May 2026; OPIS last confirmed print KRW 16,700 Apr 26 2026 = $11.35; no fresh public Carbon Pulse/OPIS print confirmed week of May 28-Jun 4; Korea gov projects KRW ~20,000 mid-Phase 4 = $14 nominal). GX-ETS binding corridor ¥1,700-4,300 ($10.95-27.7) FY2026 — METI Shulman Advisory 2026-04 confirm 1,700 floor based on pre-surge J-Credit avg ~¥1,620; ceiling ¥4,300 ≈ coal→LNG switch cost; outlook FY2030 ¥1,913-4,840 (CPI+3% escalator). EU-ETS €76.92-78.03 range late-May/early-Jun 2026 (Investing.com EUA Yearly futures: 2026-05-28 close €76.92; current ≈ €78.03 with prev close €76.75). CBAM Q1 2026 €75.36/tCO2e official (EC 2026-04-07); Q2 2026 publication scheduled 2026-07-06 (based on Apr-May EUA auction weighted average ≈ €72-76 range expected).</t>
        </is>
      </c>
      <c r="C14" s="5" t="inlineStr">
        <is>
          <t>EE only Korea; EE+Scrap EAF Japan@floor / EE+Scrap EAF+some CCS Japan@ceiling (binding); EE+EAF+BF-CCS EU</t>
        </is>
      </c>
      <c r="D14" s="5" t="inlineStr">
        <is>
          <t>EE only Korea; some CCS Japan@ceiling; EE+CCS EU</t>
        </is>
      </c>
      <c r="E14" s="5" t="inlineStr">
        <is>
          <t>No (KR) — effective price still ~$0.92/tCO2 (8% short × $11.5 KAU25); POSCO benchmark penalty 0.827 tCO2/t (TTI 2026) → CBAM-exposed POSCO exports €60+/t border bill at full pass-through even with K-ETS payment</t>
        </is>
      </c>
      <c r="F14" s="5" t="inlineStr">
        <is>
          <t>Yes (JP @ ceiling nominal $27.7) — but effective $0.55-1.39 with ~95% free alloc; JFE Kurashiki EAF MACC ($0.3-3) economically cleared at GX-ETS ceiling but free-alloc dilution = still negative-NPV without subsidy stack</t>
        </is>
      </c>
      <c r="G14" s="5" t="inlineStr">
        <is>
          <t>JP-KR carbon-price gap STABLE WoW. EU-KR gap WIDENED marginally (EU €78 ≈ $86 vs K-ETS $9.5-11.7 = ~7.4-9x ratio). NEW THIS WEEK: Korea petchem restructuring approval Feb 2026 confirmed 1.1 Mt/y NCC capacity shutdown (HD Hyundai Chem + Lotte Chem Daesan JV, $1.39B gov support package, $600M each company contribution) — first time KR petchem restructuring tied to fiscal/tax/regulatory relief = aligns with K-ETS Phase 4 cap tightening direction even though K-ETS price remains &lt;$12.</t>
        </is>
      </c>
      <c r="H14" s="5" t="inlineStr">
        <is>
          <t>TRIANGULATION SNAPSHOT WEEK 9 DAY 4 (2026-06-04):
(1) **K-ETS**: KAU25 spot still in $9.5-11.7 corridor through end-of-May/early-June 2026; no fresh public OPIS/Carbon Pulse print for week of May 28-Jun 4. K-ETS Phase 4 LIVE since 2026-01-01. K-MSR (Market Stability Reserve) approved via Apr 2026 Enforcement Decree amendment; detailed quantity-based trigger bands to be released by Aug 2026. Power-sector auction phase-in 2026=15%, 2027=20%, 2028=30%, 2029=40%, 2030=50%. Industrials (steel/petchem) 100% free Phase 4 then phase to 15% auction post-2030. Korea gov projects KAU mid-Phase 4 ~KRW 20,000 = $14 nominal — implies ~75% upside path but absolute level still 7-9x below EU through 2030.
(2) **GX-ETS Japan**: FY2026 (started 2026-04-01) — binding corridor confirmed by METI/Shulman Advisory: floor ¥1,700/tCO2 (referenced pre-surge J-Credit avg ¥1,620), ceiling ¥4,300 (coal→LNG switch cost benchmark). Annual escalator CPI+3%. FY2030 outlook: floor ¥1,913 ($12.3), ceiling ¥4,840 ($31.2). Coverage: companies &gt;100k tCO2/yr — includes all 4 JP steelmakers + 3 petchem majors in CAP set. Auction mechanism not until 2033. Japan transition NEW: Climate Bonds Initiative DECLINED to certify subsequent JP GX bonds citing ammonia co-firing incompatibility (per GreenCentralBanking 2026-05-06 ref).
(3) **EU-ETS**: late-May/early-Jun 2026 €76.92-78.03 range; 2026-05-26 TradingEconomics €75.51; 2026-05-28 EUA Yr futures close €76.92; current Investing.com ≈ €78.03 (prev close €76.75). +13% over four weeks to May 26 (TradingEconomics). Reuters analyst panel (late-Apr 2026) cut 2026 EUA avg forecast to €80.61 from €92.65 in Jan = ~13% downgrade. EC May 2026 consultation on 2026-2030 reference values: STEEL benchmark totals UNCHANGED (political accommodation per Eurofer pressure) while CHEMICALS/CEMENT softened — POLITICAL READ: EU steel got carve-out from benchmark tightening = undermines CBAM credibility for KR/JP exporters seeking ETS-equivalence offset claims.
(4) **CBAM**: Q1 2026 €75.36/tCO2e official (EC Apr 7 2026 publication). Q2 2026 publishes 2026-07-06 (calculated from Q2 EUA auction VWA, expected ~€72-76 range based on Apr-May spot). Phase-in 2026 = 2.5% of full CBAM rate = effective €1.88/t border price → near-zero today, scales ~25% by 2027, full by 2034. Default values are now country×product-specific (replaced global averages). Korean BF-BOF default benchmark 2.6-3.5 tCO2/t HRC → import surcharge €196-264/t at full pass-through (2034), €4.9-6.6/t at 2026 2.5% phase-in.
(5) **MAJOR POLICY EVENT — Korea petchem restructuring (Feb 2026 final approval)**: South Korea industry ministry approved first petchem industry restructuring project; HD Hyundai Chemical + Lotte Chemical Daesan facilities consolidated; $1.39B gov support package (₩2.1T tax/financing/R&amp;D/regulatory relief); each company contributes ₩600B for 50/50 JV. 1.1 Mt/y NCC capacity shutdown (3.7 Mt/y across 10 petchem groups total mandated). Govt "self-rescue first" policy: only firms demonstrating genuine restructuring qualify for support. NEW Special Act on Petrochemicals offers tax credits, deferred-tax for M&amp;A, streamlined facility-closure procedures. CAP IMPLICATION: This is the FIRST KR petchem capacity reduction tied to carbon-policy framework (K-ETS Phase 4 cap tightening + restructuring incentives) — even though K-ETS effective price remains ~$0 for petchem (100% free alloc), the FISCAL/REGULATORY stack now provides a parallel decarbonization pressure mechanism. Restructuring effectively SHORTENS asset life on NCC capacity = directly relevant to CAP's depreciation/asset-lifecycle methodology (Gap 1 LCOA, Gap 5 timing).
(6) **MAJOR POLICY EVENT — Japan GX bonds &amp; EAF subsidy stack confirmed**: Government "Support Project for Energy and Process Conversion in Hard-to-Abate Industries" subsidy allocations final: Nippon Steel ¥42.8B (Hirohata) + ¥208.7B (Yawata/Shunan) = ¥251.4B (~$1.7B); JFE Steel ¥104.5B (Kurashiki, ~$0.7B for 2 Mt/y EAF). Total ¥484B (~$3.18B) over 5 yrs through GX Economy Transition Bonds. JFE EAF commissioning FY2027/2028. CAP IMPLICATION: JP government effectively subsidizing 30-50% of EAF CAPEX = reduces Implied MACC for Nippon/JFE meaningfully — Nippon Yawata/Shunan EAF subsidy-net Implied_MACC could be ~$0.5-1.5/tCO2 (was $2-4), JFE Kurashiki subsidy-net ~$0.1-0.5/tCO2 (was ~$1-3). At GX-ETS ceiling ¥4,300 ($27.7), subsidy-net JFE EAF is dominantly economic. **NEW**: combined with FOCUS ON KOREA — Korean H2-DRI projects receive only ~10% of total ₩286.5B Korean hydrogen-steel budget; German government outspends Korean H2-steel by 38x despite Germany producing half the steel — direct empirical evidence that KR transition subsidy stack is structurally below JP/EU.
(7) **CAP IMPLICATION — Day 4 synthesis**: Week-over-week, the policy-price disconnect quantification remains stable but the SUBSIDY-NET LCOA methodology (Day 3 Wed 2026-06-03 work) now shows ASYMMETRIC bilateral picture:
   - **JP STEEL** subsidy-net effective MACC ≈ $0-2/tCO2 at GX-ETS ceiling = CAN clear effective carbon price even at $0.55-1.39/tCO2 with subsidy stack;
   - **KR STEEL** subsidy-net effective MACC ≈ $50-100/tCO2 (HyREX/H2-DRI gets only 10% of ₩286.5B = ~₩28B = ~$20M/y allocation) vs K-ETS effective ~$0.92/tCO2 = **50-100x gap**;
   - **KR PETCHEM** restructuring opens fiscal/regulatory channel even though K-ETS effective ~$0 — first non-price decarbonization mechanism in KR petchem;
   - **JP PETCHEM** still pre-subsidy disclosure for major NCC-replacement (Coolbrook RDR not yet in JP gov stack).
   This asymmetric bilateral picture is FRESH support for CAP Gap 1 (CAPEX cost-efficiency scoring 부재) and Gap 5 (investment-timing 무시) because TPI/CA100+/SBTi treat KR and JP as equivalent jurisdictions for transition-finance scoring whereas the JP subsidy stack is structurally 5-10x larger relative to MACC.
(8) **CARBON PRICE DATA UPDATE FOR CAP_Brainstorm_Notes**: K-ETS still $9.5-11.7 spot through Jun 4; GX-ETS corridor binding $11-27.7; EU-ETS €76-78 (June close target ~$84); CBAM Q1 €75.36 official, Q2 publishes Jul 6 (~€72-76 expected). NO change in CAP Gap 3 quantification: ALL 12 CAP companies remain at &lt;$2/tCO2 effective price in 2026, vs transition-tech LCOA hurdles $0.3-160/tCO2.</t>
        </is>
      </c>
      <c r="I14" s="5" t="inlineStr">
        <is>
          <t>CAP 12-company effective price (Week 9 Day 4 reaffirmed): POSCO/Hyundai (KR steel) ≈ $0.92/tCO2; NSC/JFE/Kobe (JP steel) ≈ $0.55-1.39/tCO2; KR petchem (LG/Lotte/SK/Hanwha) ≈ $0/tCO2 (100% free Phase 4 industrials); JP petchem (Mitsubishi/Mitsui/Asahi Kasei) ≈ $0.55-1.39/tCO2. CBAM 2026 phase-in: +€1.88/t EU-exports (steel only). **SUBSIDY-NET LCOA (NEW)**: JP steel Implied_MACC drops to $0-2 post-GX subsidy (Nippon ¥251.4B, JFE ¥104.5B); KR steel Implied_MACC stays $50-100 (H2-DRI gets ~10% of ₩286.5B). Bilateral asymmetry: JP subsidy stack 5-10x larger relative to MACC than KR.</t>
        </is>
      </c>
      <c r="J14" s="5" t="inlineStr">
        <is>
          <t>K-Taxonomy 2022 + Japan CT 2021 = PERMISSIVE re ammonia/H2 co-firing + LNG. EU Taxonomy = STRICT. CBI declined to certify subsequent JP GX bonds (GreenCentralBanking 2026-05-06) = labeling integrity now publicly contested. KR petchem restructuring fiscal/regulatory stack is OUTSIDE K-Taxonomy — operates through Special Act on Petrochemicals = separate policy channel from green-bond / transition-finance frameworks. = Taxonomy still misaligned; restructuring policy adds a parallel non-taxonomy decarbonization channel in KR (POLITICAL/INDUSTRIAL POLICY) not captured by TPI/CA100+/SBTi.</t>
        </is>
      </c>
    </row>
  </sheetData>
  <autoFilter ref="A1:H1"/>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60"/>
  <sheetViews>
    <sheetView zoomScaleNormal="100" workbookViewId="0">
      <pane ySplit="1" topLeftCell="A2" activePane="bottomLeft" state="frozen"/>
      <selection pane="bottomLeft" activeCell="A1" sqref="A1"/>
    </sheetView>
  </sheetViews>
  <sheetFormatPr baseColWidth="10" defaultColWidth="8.6640625" defaultRowHeight="15"/>
  <cols>
    <col width="8" customWidth="1" min="1" max="1"/>
    <col width="12" customWidth="1" min="2" max="2"/>
    <col width="45" customWidth="1" min="3" max="3"/>
    <col width="25" customWidth="1" min="4" max="4"/>
    <col width="45" customWidth="1" min="5" max="6"/>
    <col width="13" customWidth="1" min="7" max="7"/>
  </cols>
  <sheetData>
    <row r="1" ht="15" customHeight="1">
      <c r="A1" s="1" t="inlineStr">
        <is>
          <t>Week</t>
        </is>
      </c>
      <c r="B1" s="1" t="inlineStr">
        <is>
          <t>Date</t>
        </is>
      </c>
      <c r="C1" s="1" t="inlineStr">
        <is>
          <t>Data_Updates</t>
        </is>
      </c>
      <c r="D1" s="1" t="inlineStr">
        <is>
          <t>Literature_Added</t>
        </is>
      </c>
      <c r="E1" s="1" t="inlineStr">
        <is>
          <t>Key_Insight</t>
        </is>
      </c>
      <c r="F1" s="1" t="inlineStr">
        <is>
          <t>Action_Items</t>
        </is>
      </c>
      <c r="G1" s="1" t="inlineStr">
        <is>
          <t>Status</t>
        </is>
      </c>
    </row>
    <row r="2" ht="51.75" customHeight="1">
      <c r="A2" s="2" t="inlineStr">
        <is>
          <t>Week 1</t>
        </is>
      </c>
      <c r="B2" s="2" t="inlineStr">
        <is>
          <t>2026-04-14</t>
        </is>
      </c>
      <c r="C2" s="2" t="inlineStr">
        <is>
          <t>Initial data collection: 5 steel + 7 petrochem companies</t>
        </is>
      </c>
      <c r="D2" s="2" t="inlineStr">
        <is>
          <t>16 new references added</t>
        </is>
      </c>
      <c r="E2" s="2" t="inlineStr">
        <is>
          <t>MACC analysis reveals POSCO HyREX at highest cost tier ($100-130/tCO2) vs JFE EAF at lowest ($0.3/tCO2); K-ETS $7 creates zero incentive for any transition tech</t>
        </is>
      </c>
      <c r="F2" s="2" t="inlineStr">
        <is>
          <t>1) Add Scope 3 data 2) Find IEA methane MACC for petrochem 3) DART XBRL CAPEX detail extraction</t>
        </is>
      </c>
      <c r="G2" s="2" t="inlineStr">
        <is>
          <t>In Progress</t>
        </is>
      </c>
    </row>
    <row r="3" ht="270" customHeight="1">
      <c r="A3" s="2" t="inlineStr">
        <is>
          <t>Week 2</t>
        </is>
      </c>
      <c r="B3" s="2" t="inlineStr">
        <is>
          <t>2026-04-14</t>
        </is>
      </c>
      <c r="C3" s="2" t="inlineStr">
        <is>
          <t>No new company data this cycle (Day 2 = Literature focus)</t>
        </is>
      </c>
      <c r="D3" s="2" t="inlineStr">
        <is>
          <t>17 new references added (total now 33): Nature 2025 Wang et al. "Technological pathways for cost-effective steel decarbonization" added as CORE LCOA reference; ACCR blast-furnace relining report (62 BFs, 70% between 2026-2035); Columbia CGEP LCCA methodology; TPI State of Corporate Transition 2025; GEM $518B stranded asset report; IEEFA Asia carbon pricing Sep2025; OECD ECR 2025; MSCI GX-ETS earnings impact; ICMA Climate Transition Bond Guidelines Nov2025</t>
        </is>
      </c>
      <c r="E3" s="2" t="inlineStr">
        <is>
          <t>Nature 2025 Wang et al. validates CAP methodology direction — plant-level least-cost pathway with retrofit timing = "medium pathway" ~$24.7/tCO2 avg (2020-2050); very close to what CAP needs for Korean/Japanese asset-level analysis. Vogl et al. 2021 Joule remains foundational for the asset-timing layer: relining cost = 25-50% of new BF means decision window is structurally locked to ~15-20yr cycle. This supports CAP Gap 5 (annual-snapshot frameworks miss the investment-timing structural feature).</t>
        </is>
      </c>
      <c r="F3" s="2" t="inlineStr">
        <is>
          <t>1) Deep-read Wang et al. Nature 2025 SI for plant-level cost curves relevant to POSCO/Nippon/JFE 2) Use Columbia LCCA methodology as explicit citation template for CAP LCOA formulation 3) Map 62 ACCR blast furnaces → identify Korean+Japanese subset and relining-year distribution 4) Re-examine IEEFA Asia carbon pricing report for K-ETS phase 4 allocation detail 5) Start Day 3 (MACC refinement) priority list incl. fixing Hyundai Steel CAPEX (~$1.1B) and Nippon Steel (~$6.0B) errors</t>
        </is>
      </c>
      <c r="G3" s="2" t="inlineStr">
        <is>
          <t>Completed</t>
        </is>
      </c>
    </row>
    <row r="4">
      <c r="A4" t="inlineStr">
        <is>
          <t>Week 2 (Day 2 PM)</t>
        </is>
      </c>
      <c r="B4" t="inlineStr">
        <is>
          <t>2026-04-14</t>
        </is>
      </c>
      <c r="C4" t="inlineStr">
        <is>
          <t>No new company data (Day 2 = Literature focus, second pass)</t>
        </is>
      </c>
      <c r="D4" t="inlineStr">
        <is>
          <t>18 additional references (total 51): ICAP K-ETS Phase 4 allocation plan (approved 2025-11-11); Liu/Glynn et al. Mar 2026 ScienceDirect stranded-assets paper covering Japan+SK+4 others — CORE CAP cross-country calibration reference; SteelWatch "Redline not Reline" OECD 500Mt lock-in; SteelWatch Nippon Steel CCA May 2025 update; RMI Reline or Revitalize methodology template; For Our Climate Gwangyang No.2 BF analysis; BloombergNEF Asian Steel Giants portfolio-tech mapping; Fuel Cells Works POSCO HyREX 2026-03 Pohang approval + $227M FINEX update; SBTi FI Net-Zero Standard Jul 2025; CDP 9% CAPEX-aligned stat; Carbon Pulse GX-ETS floor/ceiling ¥4-6k/tCO2; Korea NCC restructuring (S&amp;P Global + KED) 3.66 Mt ethylene cut; LBL LCOA tools; CFA/ICMA transition finance action list.</t>
        </is>
      </c>
      <c r="E4" t="inlineStr">
        <is>
          <t>Two high-value new findings: (1) Liu/Glynn Mar 2026 ScienceDirect paper is the first peer-reviewed cross-country stranded-asset quantification that explicitly includes Japan+SK across 5 heavy-industry sectors — provides direct empirical anchor for CAP MACRO layer and strengthens Gap 5 narrative with external validation. (2) Korea petchem NCC restructuring (Yeosu LG Chem+GS Caltex JV; Daesan Lotte+HD Hyundai JV; 3.66 Mt ethylene capacity cut) is effectively GOVT-MANDATED EARLY RETIREMENT — a natural experiment for CAP Gap 5 asset-timing framework on petrochemical side. This is the petchem parallel to steel BF relining decision windows. (3) Japan GX-ETS ¥4-6k/tCO2 floor-ceiling (~$27-40) is now a concrete number to feed into Carbon_Price_Scenarios — vs K-ETS ~$7. 5-6x Japan/Korea carbon-price gap is itself a CAP-relevant finding. (4) ICAP Phase 4 K-ETS confirmation: despite new phase, steel/petchem keep 100% free allocation — reinforces CAP Gap 3 argument that K-ETS signal is structurally muted for target sectors.</t>
        </is>
      </c>
      <c r="F4" t="inlineStr">
        <is>
          <t>1) Next Day 3: Fix Company_Tech_Mapping (Hyundai ~$1.1B, Nippon ~$6.0B) + integrate BloombergNEF portfolio split data. 2) Update Carbon_Price_Scenarios with GX-ETS ¥4-6k band (~$27-40/tCO2). 3) Revise Lotte/LG Chem CAPEX lines in Company_Data to reflect NCC JV restructuring announcements. 4) Deep-read Liu/Glynn Mar 2026 paper (pii/S2214629626000927) methodology section — align CAP LCOA formulation with their NPV asset-stranding metric for direct comparability. 5) Add For Our Climate Gwangyang analysis + SteelWatch "Redline not Reline" to brainstorm narrative for Gap 5 motivation. 6) Request LBL Facility CO2e Flow Tool output for a POSCO-parameterized case to benchmark CAP LCOA.</t>
        </is>
      </c>
      <c r="G4" t="inlineStr">
        <is>
          <t>Completed (PM second pass)</t>
        </is>
      </c>
    </row>
    <row r="5">
      <c r="A5" t="inlineStr">
        <is>
          <t>Week 2 (Day 3)</t>
        </is>
      </c>
      <c r="B5" t="inlineStr">
        <is>
          <t>2026-04-15</t>
        </is>
      </c>
      <c r="C5" t="inlineStr">
        <is>
          <t>Company_Tech_Mapping CAPEX chain-shift fixed: Hyundai $6B→$1.1B (US $5.8B EAF separated out); Nippon Steel $2.2B→$6.0B (JPY 868.7B across Yawata/Hirohata/Shunan, 2.9Mtpa, 3.7MtCO2/yr cut); JFE $1.05B→$2.2B (Kurashiki 2Mtpa, FID Apr2025, start Apr-Jun 2028); Kobe $1B→$1.05B (revised-down signal). New sheet BF_Relining_Asset_Life added with 16 rows covering POSCO/Nippon/JFE/Kobe/Hyundai furnace-level reline dates. Carbon_Price_Scenarios: GX-ETS Start price band updated to $27-40 (¥4-6k floor-ceiling).</t>
        </is>
      </c>
      <c r="D5" t="inlineStr">
        <is>
          <t>No new literature this entry (Day 3 = MACC refinement). Confirms against: Tenova/GE Vernova Consteel contract announcement Feb 2026; Mysteel Hirohata 0.5Mtpa/110t H2 FY2029; Seoul Economic Daily 2026-03-31 Gwangyang 2.5Mtpa EAF Jun 2026 start; For Our Climate Gwangyang No.2 BF 137MtCO2 lock-in; GMK Kurashiki No.2 BF 2003→2028 reline; SteelWatch "Redline not Reline"; Canary Media Gary Works reline 2026.</t>
        </is>
      </c>
      <c r="E5" t="inlineStr">
        <is>
          <t>Three high-salience CAP findings from the fix: (1) JFE is the only case where BF relining decision and EAF FID are structurally aligned — No.2 BF reline due 2028 = EAF start 2028 → CAP "clean alignment" benchmark. (2) POSCO is the inverse: Gwangyang No.2 BF reline Apr2025 extends coal through ~2040 EVEN AS Gwangyang EAF starts Jun 2026 → parallel-track lock-in, textbook Gap 5 case. (3) Nippon Steel is mixed: EAF substitution at Yawata (positive) but simultaneous reline of all 6 BFs by 2030 (negative) → the aggregate CAPEX-only metric hides this structural ambiguity → direct motivation for CAP LCOA-with-depreciation methodology. Portfolio split now visible: Nippon $6B = 2.9Mtpa EAF conversion / ~$2.07B per Mtpa EAF capacity; JFE $2.2B / 2.0Mtpa = $1.10B/Mtpa; POSCO HyREX $13.3B targets ~1-2Mtpa pilot-to-commercial by 2030 → &gt;$6.65B/Mtpa (3-6× EAF cost per unit capacity) = core CAP cost-efficiency gap datapoint.</t>
        </is>
      </c>
      <c r="F5" t="inlineStr">
        <is>
          <t>1) Day 4: Recompute Implied_Cost_per_tCO2 formulas against corrected CAPEX and write results column. 2) Cross-reference BF_Relining_Asset_Life sheet against Wang et al. 2025 Nature plant-level cost curves for POSCO/Nippon/JFE. 3) Request LBL Facility CO2e Flow tool run with corrected CAPEX parameters. 4) Add $/Mtpa-capacity metric column to Company_Tech_Mapping for direct cost-efficiency comparison. 5) Build an interim target vs. locked-in BF emissions chart for the brainstorm doc. 6) Integrate Japan GX-ETS $27-40 band into updated MACC viability thresholds.</t>
        </is>
      </c>
      <c r="G5" t="inlineStr">
        <is>
          <t>Completed</t>
        </is>
      </c>
    </row>
    <row r="6" ht="335" customHeight="1">
      <c r="A6" s="5" t="inlineStr">
        <is>
          <t>Week 2 (Day 3 PM)</t>
        </is>
      </c>
      <c r="B6" s="5" t="inlineStr">
        <is>
          <t>2026-04-15</t>
        </is>
      </c>
      <c r="C6" s="5" t="inlineStr">
        <is>
          <t>Company_Tech_Mapping: added New_Capacity_Mtpa + CAPEX_USD_M_per_Mtpa columns; replaced Implied_Cost_per_tCO2 formulas with computed numeric values (POSCO $1,847; Hyundai $127; Nippon $267; JFE $154; Kobe $219). NEW sheet Tech_Portfolio_Split: 24 rows decomposing each company's CAPEX across multiple technologies (POSCO 6 components, Hyundai 3, Nippon 6 incl. subsidy, JFE 2 incl. subsidy, Kobe 2, LG Chem 3, Lotte+Hanwha petchem restructuring). Steel_MACC &amp; Petrochem_MACC: added Calibration_Note_Apr2026 column tying each MACC row to Wang et al. 2025 Nature / LBL / DOE Liftoff.</t>
        </is>
      </c>
      <c r="D6" s="5" t="inlineStr">
        <is>
          <t>Wang et al. 2025 Nature confirmed values cross-referenced into MACC tables. Additional: Asia Business Daily 2026-02-25 Daesan Project No.1 approval (KRW 2.1T gov package; Lotte Daesan 1.1Mt NCC shutdown 3yr, ethylene 1.95Mt→0.85Mt); Businesskorea KDB KRW 2T funding confirmation; LBL Green Steel DRI cost analysis; Seoul Economic Daily Gwangyang EAF Jun 2026; Mysteel Hirohata $920M JPY 140B confirmation; POSCO Pohang HyREX site approval Mar 2026; Steelradar/GMK JFE $2.2B with JPY 104.5B gov subsidy.</t>
        </is>
      </c>
      <c r="E6" s="5" t="inlineStr">
        <is>
          <t>Four high-salience CAP findings: (1) $/Mtpa capacity cost gap is DRAMATIC — POSCO HyREX $4,750M/Mtpa vs JFE EAF $1,100M/Mtpa vs Nippon EAF $2,069M/Mtpa vs Hyundai $2,200M/Mtpa (Korean domestic). POSCO pays ~4.3× JFE per Mtpa of new low-carbon capacity → Gap 1 flagship datapoint. (2) Implied $/tCO2 abated using CORRECTED CAPEX: POSCO $1,847/tCO2, Nippon $267, Kobe $219, JFE $154, Hyundai $127. POSCO is 12× the Hyundai number — even after Hyundai's modest 30% target assumption. (3) Nippon Steel net-of-subsidy CAPEX falls to ~$4.3B after JPY 251.4B METI Green Innovation Fund; JFE net ~$1.5B after JPY 104.5B. Subsidy-adjusted $/Mtpa: JFE ~$750M, Nippon ~$1,483M → JFE is still the cost-efficiency benchmark. (4) NEW Gap 5 parallel on petchem side: Korean NCC restructuring via "Daesan Project No.1" (approved 2026-02-25) = govt-mandated 3-year shutdown of Lotte 1.1Mt NCC + Daesan ethylene capacity halved (1.95→0.85Mt). This is the structural equivalent of BF retirement for petrochemicals — first empirical petchem early-retirement case for CAP framework.</t>
        </is>
      </c>
      <c r="F6" s="5" t="inlineStr">
        <is>
          <t>1) Day 4: integrate GX-ETS ¥4-6k ($27-40) band into updated Carbon_Price_Scenarios thresholds and compute breakeven carbon price per company (POSCO breakeven ~$1,847/tCO2 under current target; obviously infeasible → Gap 3 core finding). 2) Day 5 brainstorm: write LCOA methodology appendix that explicitly uses subsidy-adjusted $/Mtpa and $/tCO2 metrics from today's work. 3) Add Gwangyang No.2 BF reline + EAF parallel-track lock-in chart to dashboard. 4) Request Wang et al. 2025 Nature SI for POSCO/Nippon/JFE plant-level least-cost pathway output to compare with CAP Implied_Cost column. 5) Extend Tech_Portfolio_Split to include SK Geocentric, Mitsubishi/Mitsui/Asahi once CAPEX disclosed. 6) Update BF_Relining_Asset_Life with 2026-04 quarterly disclosures (Nippon AGM Jun 2026 upcoming).</t>
        </is>
      </c>
      <c r="G6" s="5" t="inlineStr">
        <is>
          <t>Completed (PM)</t>
        </is>
      </c>
    </row>
    <row r="7">
      <c r="A7" t="inlineStr">
        <is>
          <t>Week 2 (Day 4)</t>
        </is>
      </c>
      <c r="B7" t="inlineStr">
        <is>
          <t>2026-04-16</t>
        </is>
      </c>
      <c r="C7" t="inlineStr">
        <is>
          <t>Carbon_Price_Scenarios updated: K-ETS current KRW 13,750 (~$9.5, +50% YTD); GX-ETS mandatory phase launched 1 Apr 2026 with ¥1,700-4,300 corridor (~$11-29); EU-ETS ~€74.8 (~$82); CBAM first official cert price €75.36/tCO2 published 7 Apr 2026. Added CBAM-Adjusted Import scenario row and K-ETS Phase 4 Projected (2028-2030) row. K-ETS Phase 4: 2.54BtCO2e cap, steel+petchem 100% free allocation retained, K-MSR introduced, benchmark tightening top 37%→20%. POSCO+Hyundai ~KRW 600B/yr carbon cost exposure under reduced free allocation.</t>
        </is>
      </c>
      <c r="D7" t="inlineStr">
        <is>
          <t>No new literature (Day 4 = carbon pricing focus)</t>
        </is>
      </c>
      <c r="E7" t="inlineStr">
        <is>
          <t>Five key CAP-relevant carbon pricing findings: (1) K-ETS KAU rose 50% YTD to KRW 13,750 (~$9.5) but still only 1/8th of EU level — reinforces Gap 3 (carbon pricing integration 부재) as K-ETS signal remains structurally muted. (2) GX-ETS mandatory phase launched Apr 2026 BUT price corridor ¥1,700-4,300 (~$11-29) is LOWER than previously estimated ¥4-6k range — the ¥4,300 ceiling (not floor) is ~$29, not $40. Japan-Korea carbon price gap narrows: GX-ETS ceiling $29 vs K-ETS $9.5 = only 3× gap (not 5-6× as prev estimated). (3) CBAM definitive phase started Jan 2026 but at 2.5% phase-in = ~€1.88/tCO2 effective levy → near-term impact negligible for Korean/Japanese steel exporters. Forward-looking NPV of CBAM exposure (reaching €75+/tCO2 by 2034) is the real driver → directly supports CAP Gap 5 time-horizon argument. (4) K-ETS Phase 4 retains 100% free allocation for steel+petchem → effective carbon cost signal = 0 for compliance, even as headline KAU rises. The benchmark tightening (top 37%→20%) creates marginal efficiency incentive only, not tech-switching. (5) Korea govt expects KRW 20,000 (~$14-15) by mid-Phase 4 — even at target, still 4-5× below EU. POSCO+Hyundai face ~KRW 600B/yr carbon costs under reduced total free allocation (114→89Mt), but this is spread across entire steel sector and partially offset by benchmark adjustments.</t>
        </is>
      </c>
      <c r="F7" t="inlineStr">
        <is>
          <t>1) Correct GX-ETS price band in all files: ¥1,700-4,300 corridor (~$11-29), not ¥4-6k as previously recorded. 2) Compute CBAM forward NPV exposure for POSCO/Nippon/JFE EU export volumes to add to LCOA methodology. 3) Research POSCO+Hyundai KRW 600B/yr carbon cost claim source and verify allocation reduction math (114→89Mt). 4) Build carbon price convergence scenario: what K-ETS price needed to make each technology viable? (breakeven analysis per company already partially done — extend with corrected GX-ETS range). 5) Day 5 brainstorm: synthesize Week 2 carbon pricing findings into Gap 3 narrative section draft.</t>
        </is>
      </c>
      <c r="G7" t="inlineStr">
        <is>
          <t>Completed</t>
        </is>
      </c>
    </row>
    <row r="8" ht="409.6" customHeight="1">
      <c r="A8" s="5" t="inlineStr">
        <is>
          <t>Week 3 (Day 1)</t>
        </is>
      </c>
      <c r="B8" s="5" t="inlineStr">
        <is>
          <t>2026-04-20</t>
        </is>
      </c>
      <c r="C8" s="5" t="inlineStr">
        <is>
          <t>Company data refresh (Monday=Day 1 Data Enhancement): (1) POSCO — Apr 2026 SteelOrbis confirms S. Korea government site approval for Pohang HyREX 1.34M m² reclaimed area; BHP-POSCO MOU Oct 2025; Gwangyang 2.5Mtpa EAF June 2026 launch confirmed KRW 600B (~$440M), expected 2Mt scrap purchases in 2026. (2) Hyundai Steel — SteelOrbis 2026 confirms KRW 4.27T (~$2.9B) capital increase for Louisiana EAF (2026-Q1 2029 build window); Dangjin 499MW LNG plant 2028 to support domestic EAF conversion. Korean domestic figure ~$1.1B maintained. (3) Nippon Steel — S&amp;P Global 2026-02-05 confirms Tenova+GE Vernova selected as Yawata EAF suppliers (340t Consteel — world largest EAF); Mysteel Hirohata $920M project; Kyushu Works BF→EAF conversion begun per SteelOrbis Apr 2026. Total JPY 866.7B breakdown verified across Yawata/Hirohata/Shunan. (4) JFE — GMK Center confirms Apr 2025 FID, JPY 329.4B ($2.26B), $690M gov subsidy, start Apr-Jun 2028, BF closure during 2027-2030 reline window. (5) Kobe — budget cut $2.09B→$1.05B confirmed (May 2025, GMK Center). PETCHEM MAJOR: Lotte Chemical — Daesan Project No.1 approved Feb 25, 2026 (HD Hyundai merger, 1.1Mt NCC cut, KRW 2.1T gov package); Yeosu NCC 3-way merger (Lotte+Hanwha+DL, 33.3% each) KFTC review filed Mar 20, 2026. LG Chem — PC chemical recycling demo plant 2026; KRW 4T annual CAPEX+R&amp;D plan 2023-2030 confirmed. Japan tri-party — Asahi Kasei+Mitsui+Mitsubishi basic agreement Jan 27, 2026 for joint ethylene entity western Japan, AMEC Mizushima closure, consolidation at Osaka Petchem Takaishi, Revolefin bioethanol tech, bio-chemicals commercial FY2034. Output cut 951kt→455kt.</t>
        </is>
      </c>
      <c r="D8" s="5" t="inlineStr">
        <is>
          <t>No new literature this entry (Day 1 = Data Enhancement focus). Confirmatory sources: SteelOrbis 2026-04 (HyREX site approval); SeDaily 2026-03-31 (Gwangyang EAF); Recycling Today 2025-12 (Hyundai Louisiana Danieli); S&amp;P Global 2026-02-05 (Tenova+GE Vernova); Mysteel Hirohata; GMK Center (JFE FID, Kobe budget cut); SeDaily 2026-02-25 &amp; Korea Times 2026-02-25 (Daesan); Korea Times 2026-03-20 &amp; AsiaE 2026-03-20 (Yeosu-YNCC); Mitsui Chemicals PR 2026-01-27 &amp; Hydrocarbon Engineering 2026-02-02 (Japan tri-party).</t>
        </is>
      </c>
      <c r="E8" s="5" t="inlineStr">
        <is>
          <t>Three high-salience CAP data findings from the Day 1 refresh: (1) Korean PETCHEM STRUCTURAL BREAK — Daesan (Feb 2026) + Yeosu (Mar 2026) restructurings mark a fundamental shift: Korean government is now subsidizing NCC CAPACITY REDUCTION (1.1Mt cut + pending 2.6Mt additional reduction target per Minister) with KRW 2.1T package. This is capital allocation AWAY from new capacity toward consolidation + high-value pivot. CAP framework implication: Gap 1/4 — existing frameworks (TPI, SBTi) assess CAPEX additions, not capacity-cut CAPEX; they will SCORE THIS POSITIVELY as "transition" when it is fundamentally demand-destruction/defensive consolidation rather than decarbonization investment. New CAP typology needed: "defensive restructuring CAPEX" vs "abatement CAPEX". (2) JAPAN PETCHEM PARALLEL — Jan 27 2026 tri-party MOU (Asahi+Mitsui+Mitsubishi) mirrors Korean pattern: close AMEC Mizushima cracker, consolidate at Osaka Petchem Takaishi, PIVOT to bio-feedstock (Revolefin) but bio-chemicals commercial only FY2034 (8 years out). Short-run CAPEX is capacity-cut; long-run CAPEX is bio-feedstock retrofit. CAP Gap 5 (timing): bio-chemicals FY2034 is clearly misaligned with 2030 interim targets; implies deferred decarbonization. (3) KOREAN STEEL BIFURCATION CONFIRMED — POSCO Gwangyang EAF $440M (2.5Mtpa, Jun 2026, ~$176/Mtpa) is 25× cheaper per Mtpa than POSCO HyREX $5,333M/Mtpa; Hyundai Louisiana EAF $2.9B (estimated 1Mtpa) is ~$2,900M/Mtpa. Three-tier Korean cost structure emerging: (a) scrap-EAF in existing fab sites (&lt;$200M/Mtpa); (b) greenfield EAF abroad (~$2,900M/Mtpa); (c) hydrogen DRI (~$5,333M/Mtpa). This IS the CAP Gap 1 "CAPEX cost-efficiency scoring" argument — single "green CAPEX" bucket across these three classes of asset is meaningless. BF RELINING REMINDER: Gwangyang No.2 BF reline Apr 2025 confirmed ~137MtCO2 cumulative lock-in (For Our Climate); Pohang No.4 BF modernization $381.7M extending through 2044 — Gap 5 flagship cases both continue.</t>
        </is>
      </c>
      <c r="F8" s="5" t="inlineStr">
        <is>
          <t>1) Day 2 (Tue) Literature: Search for new papers on "capacity consolidation vs decarbonization CAPEX" typology; deep-read Wang et al. 2025 SI and Columbia LCCA; search for Korean/Japanese petchem stranded asset papers post Feb 2026 restructuring. 2) Day 3 (Wed) MACC: Add new Company_Tech_Mapping rows for Lotte Chemical-HD Hyundai Daesan merger entity; update Hanwha YNCC row; adjust Mitsubishi/Mitsui/Asahi Japan tri-party entity row. Compute "negative CAPEX" (capacity-cut) implied $/tCO2 avoided for Korean NCC reductions. 3) Day 5 brainstorm: Add new section on "capacity reduction vs abatement CAPEX" as potential 6th framework gap. 4) Add new BF_Relining_Asset_Life rows for Nippon Kyushu (BF→EAF conversion start timing) once confirmed. 5) Update Tech_Portfolio_Split: split POSCO Gwangyang EAF as separate low-cost line at $176/Mtpa.</t>
        </is>
      </c>
      <c r="G8" s="5" t="inlineStr">
        <is>
          <t>Completed</t>
        </is>
      </c>
    </row>
    <row r="9" ht="409.6" customHeight="1">
      <c r="A9" s="5" t="inlineStr">
        <is>
          <t>Week 3 (Day 2)</t>
        </is>
      </c>
      <c r="B9" s="5" t="inlineStr">
        <is>
          <t>2026-04-21</t>
        </is>
      </c>
      <c r="C9" s="5" t="inlineStr">
        <is>
          <t>No new company data (Day 2 = Literature focus)</t>
        </is>
      </c>
      <c r="D9" s="5" t="inlineStr">
        <is>
          <t>14 new references added (total 65). 학술논문 중심 확충 — (a) KOREA-SPECIFIC 석유화학: Lee/Choi 2025 ACS Sustainable Chem Eng 한국 기존 NCC 대상 blue/green NH3·H2·CCUS·methane-to-methanol 비교, 50% blue NH3 CAC $87.98/tCO2e 최적. (b) Ethylene e-cracker TEA+LCA 3편 (Green Chemistry D4GC04538F, D5GC02960K, D5GC02106E): conventional naphtha LCOE $660/t-ethylene, electrified 부가비용 $140/t, plasma $1,750-2,000/t. (c) Harpprecht et al. 2024 Applied Energy: 유럽 e-PE 2040년 fossil 대비 경쟁력; LCOPE 725→1577 €/tLDPE (2020→2050). (d) STRANDED ASSETS: Fennell et al. Nature Sustainability 2026 (Vol 9 pp.328-336) 전력섹터 ownership-concentration 좌초자산 (top 25 $770B/$224B); Zhang et al. 2025 Resources Conservation Recycling: 글로벌 철강 탈탄소 로드맵 near-zero 2050 10% 미달. (e) TRANSITION FINANCE: Climate Bonds Initiative Sep2025 중국 철강 $18B·Hebei guidelines 2.0; AMRO/BFA Boao Mar2025; Oxford SSEE (Caldecott et al.) 철강 transition plan credibility. (f) INDUSTRY CONTEXT: BCG/KCIA 한국 petchem 48% fragile solvency + ND/EBITDA 5.3; ETC Making Net-Zero Steel Possible (refurbishment 창 이론); ICIS 2026.3 Korea naphtha shortage conservation mode; Carbon Pulse 한국 저탄소 naphtha cracker 프로젝트.</t>
        </is>
      </c>
      <c r="E9" s="5" t="inlineStr">
        <is>
          <t>Three high-value synthesis findings: (1) KOREA NCC에 대한 peer-reviewed 학술 데이터 공백 해소 — Lee/Choi 2025 (#52)가 CAP Petrochem_MACC 표의 LG Chem/Lotte/Hanwha rows에 대한 직접 학술 calibration을 제공. 그동안 petchem MACC는 산업 보고서·Biermann 2020 Sweden CCS 등 transfer evidence만 있었는데, 이제 Korean case-specific 실증 LCOA 수치 확보. (2) GAP 6 (defensive restructuring vs abatement CAPEX)에 대한 이론적 갈등 정점 확인 — BCG/KCIA 2025 (#62) 한국 석유화학 48% fragile solvency + ND/EBITDA 5.3 → 기업들은 abatement CAPEX 선택 자유도가 이미 제약됨. 한국 정부의 Daesan/Yeosu JV 정부주도 구조조정(KRW 2.1T 지원)은 기업 재무여력 고려 시 유일 현실 경로. CAP framework는 '재무제약 내 CAPEX 선택 제약 모형'으로 확장 필요. (3) OWNERSHIP-CONCENTRATION 각도 신설 — Fennell et al. Nature Sust 2026 (#57)가 power sector에 대해 top-25 ownership concentration으로 $770B stranded을 계산한 방법론을 CAP의 한·일 12개 대상 기업에 이식하면 'corporate-level stranded asset'을 NPV 기반 수치로 직접 산출 가능. Liu/Glynn 2026 (#35) 섹터별 total VAR + Fennell et al. ownership layer = CAP Micro 레이어의 이중 좌표체계.</t>
        </is>
      </c>
      <c r="F9" s="5" t="inlineStr">
        <is>
          <t>1) Day 3 (수 4/22) MACC: Lee/Choi 2025 (#52) CAC $87.98/tCO2e를 Petrochem_MACC Korea row 50% blue NH3 entry로 반영; Harpprecht 2024 (#56) LCOPE 궤적을 Carbon_Price_Scenarios 2050 projection과 교차검증; Company_Tech_Mapping에 Green Chemistry D4GC04538F cost benchmark 반영. 2) Day 4 Carbon Pricing: ICIS 2026.3 naphtha shortage 사건의 implicit carbon cost 추정 추가. 3) Day 5 Brainstorm: Gap 6(defensive restructuring CAPEX) 서술 섹션에 BCG/KCIA 48% fragile solvency 및 ND/EBITDA 5.3 정량 인용; Fennell Nature Sust 2026 ownership-concentration 방법론을 CAP Micro layer prototype에 이식. 4) Day 6 Collaborator: Oxford Ben Caldecott 저자 trace — SSEE 2023 discussion paper와 최신 publication 확인. 5) Day 7 Dashboard: Petrochem_MACC 시각화에 Lee/Choi 2025 Korean data point를 다른 sources 대비 표시. 6) 문헌 품질 notes: 오늘 추가 14건 중 학술 peer-reviewed 8건 (ACS/RSC/Elsevier/Nature Sustainability), 회색문헌 6건 (Climate Bonds/AMRO/BCG/ETC/ICIS/Carbon Pulse). 학술 비중이 이전 대비 향상됨.</t>
        </is>
      </c>
      <c r="G9" s="5" t="inlineStr">
        <is>
          <t>Completed</t>
        </is>
      </c>
    </row>
    <row r="10">
      <c r="A10" t="inlineStr">
        <is>
          <t>Week 3 (Day 3)</t>
        </is>
      </c>
      <c r="B10" t="inlineStr">
        <is>
          <t>2026-04-22</t>
        </is>
      </c>
      <c r="C10" t="inlineStr">
        <is>
          <t>Day 3 MACC Refinement (scheduled run). CAPEX corrections already in place (Hyundai $1.1B domestic / $5.8B US separate; Nippon $6.0B JPY 868.7B group). NEW Apr 2026 confirmations applied: (1) Nippon Steel Yawata 2.0Mtpa EAF = JPY 630.2B ($3.97B) WITH gov subsidy cap JPY 179.9B, start H1 FY2028 (Apr-Sep 2028) — UPDATE from prior FY2029; construction formally commenced Apr 2026 per SteelOrbis/GMK. (2) Hyundai Steel HYBRID BF-EAF mass production began Feb 2026 at Dangjin (20% CO2 reduction vs conventional). (3) LG Chem Daesan HVO bio-refinery capacity REVISED from 300kt to 400kt/yr bio-feedstock (Enilive PR Aug 2025 groundbreaking); completion 2027; JV 51/49 LG-Enilive. (4) New Tech_Portfolio_Split row for SK Geocentric Ulsan ARC (KRW 1.8T/$1.4B, 320kt/yr plastic recycling, operational 2026). (5) Korean NCC 50% blue-NH3 MACC benchmark row ($87.98/tCO2e, Lee &amp; Choi 2025 ACS Sus Chem Eng) added as sector learned-literature cross-check for LG Chem/Lotte/Hanwha petchem rows. Steel_MACC H2-DRI Green row updated with Korea-specific LCOS datapoint ($621/t at $1/kg H2, Transition Asia Korea Factsheet). Steel_MACC SR-BOF+CCS note refined with Wang et al. 2025 Nature regional split ($26-75/tCO2 Korea/Japan vs $7-15 China). BF_Relining: Yawata BF shutdown now explicitly timed to FY2028 EAF start; Pohang BF No.4 historical-volume correction to 5,600 m³ (upgraded from original 3,975 m³ 1981 build). Confirmed Pohang BF No.1 permanent shutdown Dec 2021.</t>
        </is>
      </c>
      <c r="D10" t="inlineStr">
        <is>
          <t>No new references added this cycle (Day 3 = MACC refinement; literature adds deferred to Day 2 cycle). Confirmatory sources used: Wang et al. 2025 Nature (DOI 10.1038/s41586-025-09658-9); Thermal Processing Magazine 2026 (Tenova Consteel EAF); SteelOrbis 2026-04 (Kyushu BF→EAF conversion commenced); S&amp;P Global 2026-02-05 (Tenova/GE Vernova selection); GMK Center 2026-04 (Nippon Kyushu transition); Enilive/LG Chem PR 2025-08 (Daesan groundbreaking, 400kt/yr); OGJ 2025 (Enilive JV); Canary Media 2025 (Gary Works reline); For Our Climate 2025 (137.02 MtCO2 lock-in); Climate TRACE (Gwangyang as world's highest-emitting steel plant); BankTrack 2025 (CSO letter on POSCO backing banks); Transition Asia "Green Steel Economics — South Korea Factsheet" (Jul 2024, Korea as unique market where $1/kg H2 still loses to BF-BOF); IEEFA Nov 2025 (Oman green steel FIDs expected 2026); Korea Herald 2022 + Korea Times 2023 + InvestKorea (SK Geocentric ARC KRW 1.8T); Lee &amp; Choi 2025 ACS SCE (Korean NCC blue NH3 CAC $87.98); SteelMarketUpdate 2025 (Cliffs BF reline); Canary Media 2024 (Gary Works reline); GreenSteelWorld + POSCO Newsroom (HyREX).</t>
        </is>
      </c>
      <c r="E10" t="inlineStr">
        <is>
          <t>Four high-salience CAP findings from Day 3 Apr 22: (1) NIPPON-STEEL TIMING SHIFT: Yawata EAF start moves forward to H1 FY2028 (Apr 2028) from prior FY2029 expectation; this is 12+ months earlier than modeled in CAP BF decision window, meaning the Kyushu BF→EAF substitution is the cleanest Gap 5 POSITIVE case and begins to affect Nippon emissions profile a year earlier than the SBTi-aligned 2030 interim pathway assumed. This also ALIGNS with Gary Works US reline 2026 (negative case) → within a single company the Gap 5 ambiguity is most visible. (2) WANG et al. 2025 NATURE PLANT-LEVEL REGIONAL SPLIT is exactly the MIDDLE layer comparator CAP needs: Japan/Korea MACC for SR+CCS is $26-75/tCO2 (3-5× Chinese plant cost), validating CAP's hypothesis that regional cost structure makes sector-wide benchmarks (TPI, SBTi) inadequate for Korean/Japanese asset-level scoring. This is concrete literature anchor for Gap 4 (섹터 수준 벤치마크의 기술별 비용 격차 무시). (3) KOREA H2-DRI STRUCTURAL INFEASIBILITY (Transition Asia Korea Factsheet): among 7 countries studied, Korea is the ONLY one where H2-DRI-EAF at $1/kg H2 ($621/t) still loses to BF-BOF ($605/t). Requires ≥$15/tCO2 carbon price to breakeven; current K-ETS $9.5 + 100% free allocation makes this structurally infeasible without direct subsidy — this is the SINGLE SHARPEST Gap 3 empirical anchor to date. POSCO HyREX at KRW 20T is making a technology bet that is cost-uncompetitive at any Korean carbon price horizon currently projected. (4) LG CHEM HVO CAPACITY REVISION (300→400kt bio-feedstock) changes the $/Mtpa cost-efficiency metric for petchem LG Chem row from $2,000M/Mtpa to $1,500M/Mtpa — moves LG Chem closer to the "Gap 1 middle band" vs POSCO HyREX ($4,750M/Mtpa) and JFE EAF ($1,100M/Mtpa). Three-tier Korean cost hierarchy (low: scrap-EAF brownfield &lt;$1,000M/Mtpa; middle: bio-feedstock/scrap EAF ~$1,500-2,200M/Mtpa; high: H2-DRI pilot commercial &gt;$4,500M/Mtpa) is robust to this revision.</t>
        </is>
      </c>
      <c r="F10" t="inlineStr">
        <is>
          <t>1) Day 4 (Thu) Carbon Pricing: Re-run breakeven carbon price analysis per company with CORRECTED CAPEX + Transition Asia Korea H2-DRI $15/tCO2 breakeven; test sensitivity to K-ETS Phase 4 allocation reduction scenarios. 2) Day 4: Translate Wang et al. 2025 Nature SR+CCS Japan/Korea band ($26-75) into CAP LCOA methodology as explicit regional cost multiplier = 3-5x vs Chinese plants. 3) Day 5 (Fri) Brainstorm: Draft new methodological section titled "Why sector-wide MACC is inadequate: the Nippon Kyushu Yawata vs Gary Works paradox" using Apr 22 Day 3 finding that single-company timing spans both POSITIVE (EAF H1 FY2028) and NEGATIVE (Gary reline 2026) Gap 5 cases. 4) Day 5: Integrate Lee &amp; Choi 2025 CAC $87.98/tCO2 as Korean petchem benchmark into Petrochem_MACC table directly (not just Tech_Portfolio_Split reference); re-tag as CORE calibration. 5) Day 6 (Sat) Collaborator: Search for Wang et al. 2025 (Xing Wu, Jing Meng, Xi Liang at UCL/Cambridge) as potential CAP methodology reviewer; these authors also relevant to Simon Dietz / LSE-TPI network tracked on Day 6. 6) Day 7 (Sun) Dashboard: Reflect Yawata FY2028 H1 timing and 400kt LG Chem HVO revision in CAP_MACC_Dashboard.html.</t>
        </is>
      </c>
      <c r="G10" t="inlineStr">
        <is>
          <t>Completed</t>
        </is>
      </c>
    </row>
    <row r="11">
      <c r="A11" t="inlineStr">
        <is>
          <t>Week 3 (Day 6)</t>
        </is>
      </c>
      <c r="B11" t="inlineStr">
        <is>
          <t>2026-04-25</t>
        </is>
      </c>
      <c r="C11" t="inlineStr">
        <is>
          <t>No new company data this entry (Day 6 = Collaborator &amp; Publication tracking).</t>
        </is>
      </c>
      <c r="D11" t="inlineStr">
        <is>
          <t>20 new references added (total now 85). Collaborator-tracking 중심 확충: (1) ACADEMIC: Wu/Meng/Liang/Sun/Coffman/Kontoleon/Guan 2025 Nature 저자 trace 완료 (#78, UCL Bartlett+Cambridge — CAP methodology 외부 reviewer 1순위 후보); Latino &amp; Shrimali 2026 SSRN ITR/Cost-of-Capital (#67); Dao/Jindal/Shrimali 2026 supply-chain default propagation (#68); Caldecott+ETRC 2026 Net-Zero Transition Plans evaluation (#69); Hepburn 2025 Oxford Review Economic Models (#76); Karplus 2026 China factory energy management (#73, INDABA Partnership PI, Xuansteel H2-DRI 60-70% CO2 cut); Jenkins+He 2026 EES industrial symbiosis cement+methanol (#74); Wagner+Fillon+Linsenmeier 2026 TMEC working paper Climate Shift Uncertainty (#75); Dietz 2026 Science Milieudefensie v Shell legal standards (#77). (2) FRAMEWORK: TPI 2026 CP Update with chemicals 신규 추가 (#70); ITPN+TPI Centre Nov 2025 Sector Transition Plans bridge paper (#71); ITPN COP30 Private Sector Transition Plans (#72). (3) NGO/INDUSTRY: SteelWatch Mar 2026 Corporate Scorecard "Transition Readiness Gap" (#66, 18 BF-BOF사 평가, Hyundai 21.2/Nippon 16.8/HBIS 8.3, none &gt; 50). (4) POLICY: Korea K-Steel Act 2026 통과 (#79, 1986년 폐지 후 40년만의 철강특별법, 3대 축 carbon steel/AI/H2 steelmaking, KRW 200B). (5) CONFERENCES: 5건 — UNFCCC Climate Week Yeosu Apr 21-25 2026 (#80, CAP 시기와 직접 중첩); Oxford SFS Jun 29 (#81, Caldecott 직결); Carbon Capture APAC Jul 8-9 Melbourne (#82); WBCSD Ecosperity Week May 18-21 Singapore (#83); CGEEE Seoul Jul 17-19 (#84); Macao AEPF (#85).</t>
        </is>
      </c>
      <c r="E11" t="inlineStr">
        <is>
          <t>다섯 high-salience CAP findings from Day 6 collaborator-tracking: (1) WANG et al. 2025 NATURE 저자가 모두 UCL Bartlett+Cambridge — Wu/Meng/Liang/Coffman 그룹은 CAP methodology section의 외부 검토자 1순위. UCL Discovery + repository.cam.ac.uk preprint 모두 open access. NZP-steel 모델은 plant-level 4,900개 → CAP의 한·일 12개 기업 단위 분석에 직접 plug-in 가능. CAP가 Wang et al. global plant-level model의 Korean/Japanese subset에 대한 "asset-timing layer extension" 으로 자리매김 가능. (2) STEELWATCH SCORECARD 2026 (#66)이 CAP의 NGO scorecard 차별화 narrative를 강화 — SteelWatch는 BF-BOF 의존성·climate plan credibility 평가에 멈추고 CAPEX cost-efficiency 차원은 부재. CAP 논문 Introduction에서 SteelWatch 21.2/16.8/8.3 scores를 "even leading NGO scorecards score companies on plan strength, not capital efficiency" 사례로 직접 인용 가능. (3) CALDECOTT-SHRIMALI Oxford 그룹이 ITPN의 학술 backbone임 확인 — Caldecott chairs ITPN advisory group; Shrimali은 UK Transition Plan Taskforce technical lead. ITPN+TPI Sector Transition Plans Nov 2025 paper(#71)가 K-Steel Act + Korean petchem 정부 패키지를 분석할 학술 framework 제공. CAP는 "ITPN sector plan 위에 individual CAPEX의 cost-efficiency 평가 layer 추가"로 외부 framework와의 관계 명확화 가능. (4) UNFCCC CLIMATE WEEK YEOSU (4월 21-25)가 CAP 진행 시점과 정확히 중첩 — Yeosu는 세계 최대 petchem 단지 + CAP Korean petchem 분석 대상지(Lotte Daesan, Yeosu YNCC 등 직접 인접). 67 sessions의 thematic forum 자료 + side-events가 CAP 1차 자료. 향후 회의록 입수 + side-event 발표자료 정리가 Day 7 Dashboard 업데이트로 연결되어야 함. (5) CONFERENCE PIPELINE 6월-7월 집중 — Oxford SFS(6/29) + Carbon Capture APAC(7/8-9) + CGEEE Seoul(7/17-19) 3개가 60-day window 내 발표 candidacy 확인. 우선순위: (a) CGEEE Seoul = 한국 학계 직접 노출, abstract 빠른 진입; (b) Oxford SFS = Caldecott/Shrimali network access; (c) Carbon Capture APAC = 산업계 audience 검증.</t>
        </is>
      </c>
      <c r="F11" t="inlineStr">
        <is>
          <t>1) Day 7 Dashboard (내일): UNFCCC CW3 Yeosu (4/21-25) thematic forum 자료 수집 완료 후 CAP_MACC_Dashboard.html에 "2026 Korea Green Industrialization Week" 모듈 추가. 2) Week 4 Day 1: SteelWatch Scorecard 2026 보고서 PDF deep-read — POSCO 정확 score 본문 확인, methodology annex 18-company 평가 기준 추출, Hyundai/Nippon individual breakdown 분석. 3) Week 4 Day 2 Literature: Wang et al. 2025 SI deep-read + Karplus INDABA papers 추가; Latino-Shrimali ITR cost-of-capital 방법론을 CAP framework "scoring-to-capital-cost mapping"에 도입. 4) Outreach: Caldecott + Shrimali (Oxford SSEE) 단계적 outreach — 2026 Q3 Oxford SFS abstract 제출 전 academic network introduction email; UCL Bartlett Wu/Meng group은 paper draft v0.1 완성 후 외부 reviewer 요청. 5) K-Steel Act 본문 정밀 분석 — KRW 200B 배분 내역, "green steel zones" 지정 후보지, 5-yr basic plan 일정 → CAP Gap 3 narrative section 한국 정책 case study에 통합. 6) ITPN+TPI Sector Transition Plans paper(#71) deep-read → CAP는 "ITPN sector plan + CAP CAPEX cost-efficiency layer" 통합 모델 제안 가능성 검토. 7) AEPF Macao + CGEEE Seoul abstract 제출 deadline 확인 (다음 Day 6 cycle).</t>
        </is>
      </c>
      <c r="G11" t="inlineStr">
        <is>
          <t>Completed</t>
        </is>
      </c>
    </row>
    <row r="12" ht="200" customHeight="1">
      <c r="A12" s="5" t="inlineStr">
        <is>
          <t>Week 4 (Day 1)</t>
        </is>
      </c>
      <c r="B12" s="5" t="inlineStr">
        <is>
          <t>2026-04-27</t>
        </is>
      </c>
      <c r="C12" s="5" t="inlineStr">
        <is>
          <t>Week 4 Day 1 Data Enhancement (Mon 2026-04-27). STEEL: (1) Hyundai-POSCO Louisiana — Air Liquide PR Apr 22 2026: $350M+ investment for new ASU in St. James Parish + LT contract supplying O2/N2/Ar to HPLS; gas supply commencing 2028; supports HPLS ops 2029 (650kt HRC + 2.05Mt CRC, $5.82B total CAPEX, POSCO 20%/$582M equity). (2) worldsteel Sustainability Champion Apr 13-14 2026 — POSCO 5th consecutive, Hyundai 2nd consecutive. (3) Pohang HyREX site — MOLIT extended industrial complex period 2030→2041 (Apr 2026). PETCHEM (Korean restructuring concrete details): (4) LG Chem Yeosu NCC No.2 (800kt) production HALTED from Mar 23 2026 (Seoul Economic Daily). (5) LG Chem-GS Caltex JV blueprint = LG 1.2-Mt + 800kt NCCs + GS 900kt MCC integrated, then older 1.2-Mt shut. Yeosu 1 integration target H2 2027; Daesan 1 H1 2027. (6) YNCC permanent shutdown of Crackers No.2 (915kt/yr) + No.3 (470kt/yr) = 1,385kt/yr (-60% YNCC ethylene output); post-merger equity Lotte/DL/Hanwha 33.3% each. Korea govt total target 2.7-3.7 Mt/yr ethylene capacity cut (~25% national capacity). (7) Hanwha Solutions 2026 Rights offering announced Mar 27 2026 (KEDGlobal). CARBON PRICING: (8) K-ETS KAU early Mar 2026 = KRW 13,750 ($9.53)/tCO2e — strongest since Apr 2023; +33% YTD. (9) Feb 2026 auction: KRW 12,700 cleared (+19% MoM); 2.3M bids vs 1.2M allowances = 1.9× oversubscribed. (10) Korea govt now expects KRW 20,000 by mid-Phase 4; observer tech-switching threshold KRW 20-30k. Updated CAP_Company_Data.xlsx (Steel + Petrochem rows + Carbon_Pricing_Comparison + Notes) and CAP_Technology_MACC_Analysis.xlsx (Carbon_Price_Scenarios K-ETS row + Weekly_Tracker).</t>
        </is>
      </c>
      <c r="D12" s="5" t="inlineStr">
        <is>
          <t>No new academic literature this entry (Day 1 = Data Enhancement focus). Confirmatory sources: Air Liquide PR 2026-04-22 (HPLS LT contract); Steel Market Update 2026-04-24; Manufacturing Dive (POSCO 20% Louisiana stake); IndexBox 2026 (Air Liquide deal); worldsteel Sustainability Champion announcement Apr 13-14 2026; SteelOrbis Apr 2026 (Pohang HyREX MOLIT approval, complex period 2041); Seoul Economic Daily 2026-03-23 (LG Chem Yeosu NCC No.2 halt); ECHEMI/asiae 2025-12-19 (LG Chem-GS Caltex Yeosu JV blueprint); KEDGlobal 2026-03-09 (YNCC dual-cracker shutdown plan); Argus 2026-03 (Lotte-YNCC merger KFTC review); KEDGlobal 2026-03-27 (Hanwha Solutions 2026 rights offering); QC Intel Mar 2026 (KAU KRW 13,750); Eco-Business (Feb 2026 auction KRW 12,700); ICAP K-ETS Phase 4 (KRW 20,000 govt expectation).</t>
        </is>
      </c>
      <c r="E12" s="5" t="inlineStr">
        <is>
          <t>다섯 high-salience CAP findings from Week 4 Day 1 (Apr 27 2026): (1) HYUNDAI-POSCO LOUISIANA INDUSTRIAL GAS LOCK-IN — Air Liquide $350M+ ASU + LT contract (Apr 22 2026) confirms HPLS technology architecture: large-scale O2/N2/Ar from dedicated ASU = consistent with EAF-DRI configuration not blast furnace. This is concrete CAPEX-supplier alignment that strengthens HPLS as 'low-carbon greenfield' classification, but the $5.82B/3Mtpa = ~$1,940/Mtpa is in the MIDDLE BAND of CAP three-tier cost structure (low brownfield scrap-EAF &lt;$1,000/Mtpa; middle ~$1,500-2,200/Mtpa; high H2-DRI &gt;$4,500/Mtpa). HPLS supply chain commitments now extend to 2028+ with locked-in Air Liquide gas contract = adds Gap 5 long-horizon datapoint for asset stranding analysis. (2) KOREAN PETCHEM CAPACITY-CUT QUANTIFICATION FINALIZED — Yeosu YNCC dual-cracker shutdown 1,385kt/yr now CONFIRMED (No.2 915 + No.3 470 = -60% YNCC output) + Daesan Lotte 1,100kt/yr suspension + LG Chem Yeosu NCC No.2 800kt halt Mar 23 2026 = 3,285kt/yr Korean ethylene capacity reduction in commitment phase. Korea govt target 2,700-3,700kt/yr essentially ALREADY SECURED via these three deals. This confirms CAP Gap 6 (defensive restructuring CAPEX) as empirical phenomenon: ~25% of Korean ethylene capacity is being CUT, not abated. (3) WORLDSTEEL SUSTAINABILITY CHAMPION RECURSIVE-RECOGNITION SIGNAL — POSCO 5th consecutive year, Hyundai 2nd consecutive year despite both companies (a) having Gwangyang BF lock-in (POSCO; 137MtCO2 cumulative); (b) hybrid BF-EAF rather than full electrification (Hyundai); (c) both in 100% K-ETS free allocation. This is the exact phenomenon CAP framework challenges: industry-NGO sustainability scorecards that score companies ABSENT cost-efficiency dimension. Direct ammunition for CAP Introduction. (4) K-ETS DEMAND-SIDE STRUCTURAL SHIFT — Feb 2026 auction 1.9× oversubscription is a NEW data point. Combined with KRW 13,750 spot price (+33% YTD), this is the first clear evidence of tightening market expectations under Phase 4 K-MSR. Korea govt KRW 20,000 forecast may now look conservative. BUT — observer threshold (KRW 20-30k for tech switching) shows that EVEN at KRW 20,000 govt forecast, K-ETS would still be at the LOWER bound of incentive-meaningful price → CAP Gap 3 (carbon pricing integration 부재) maintained but with revised threshold framing: K-ETS price needs to OVERSHOOT govt forecast by 50-100% to alter steel/petchem CAPEX decisions. (5) HPLS LOUISIANA AS CAP EXTERNALITY CASE — POSCO 20% Louisiana equity ($582M) sits OUTSIDE the Korean K-ETS regime entirely; Air Liquide gas contract structure is ALSO outside Korean carbon pricing. This is the inverse of Korean petchem capacity cut: POSCO is OFFSHORING low-carbon CAPEX to a jurisdiction without ETS coverage. Adds new Gap 5 dimension: CROSS-JURISDICTIONAL CAPEX REALLOCATION. Implication for CAP framework: 'Korean steel sector decarbonization CAPEX' is now structurally smaller than 'Korean steel COMPANY decarbonization CAPEX' — the gap is direct stranded-asset displacement value.</t>
        </is>
      </c>
      <c r="F12" s="5" t="inlineStr">
        <is>
          <t>1) Day 2 (Tue 2026-04-28) Literature: Search for academic literature on (a) cross-jurisdictional CAPEX reallocation under asymmetric carbon pricing (POSCO Louisiana case); (b) capacity-cut economics in petrochemicals (Korean restructuring as natural experiment, ~3.3 Mt/yr empirical case); (c) Air Liquide-style industrial gas LT contracts as proxy for technology configuration commitment. 2) Day 3 Wed 2026-04-29 MACC: Add new row to Tech_Portfolio_Split: 'POSCO Hyundai-POSCO Louisiana 20% stake' as separate $582M equity contribution component, capacity 0.6Mtpa (20% of 3Mtpa); compute implied $/Mtpa = $970M. Update Lotte+Hanwha+DL Tech_Portfolio_Split rows with -1,385kt/yr YNCC negative-CAPEX entry; update LG Chem with -800kt/yr Yeosu NCC No.2 halt. 3) Day 4 Thu Carbon Pricing: Re-run breakeven carbon price analysis with K-ETS revised path: spot KRW 13,750 (Mar 2026), govt-projected KRW 20,000 (mid-Phase 4), observer threshold KRW 20-30k. Build sensitivity table: at what K-ETS price does each company's primary tech bet break even? 4) Day 5 Fri Brainstorm: Add new section 'Capacity-cut CAPEX as anti-abatement: the 3.3 Mt Korean petchem natural experiment' integrating LG/Lotte/YNCC empirical numbers; second new section 'Cross-jurisdictional CAPEX reallocation: POSCO HPLS as Gap 5 extension'. 5) Day 6 Sat Collaborator: Search for new Karplus/Dietz/Caldecott publications post Apr 25 2026; check whether worldsteel Sustainability Champion methodology has been independently critiqued in academic literature (potential CAP citation). 6) Day 7 Sun Dashboard: Add Korean petchem capacity-cut dashboard module showing -3,285kt/yr commitments vs govt target 2,700-3,700kt; add HPLS Louisiana panel with Air Liquide gas contract structure visual. 7) Brainstorm doc: append Week 4 Day 1 entry with five high-salience findings above.</t>
        </is>
      </c>
      <c r="G12" s="5" t="inlineStr">
        <is>
          <t>Completed</t>
        </is>
      </c>
    </row>
    <row r="13">
      <c r="A13" t="inlineStr">
        <is>
          <t>Week 4 (Day 1 PM)</t>
        </is>
      </c>
      <c r="B13" t="inlineStr">
        <is>
          <t>2026-04-27</t>
        </is>
      </c>
      <c r="C13" t="inlineStr">
        <is>
          <t>Day 1 second-pass news scan (Apr 25-27 2026). NEW: (1) HYUNDAI STEEL Q1 2026 RESULTS (regulatory filing Apr 24 2026): rev ₩5.74T (+3.2% YoY), OP ₩15.7B (~$10.6M swing to black) but 66.2% below ₩46.5B consensus, net loss ₩39.3B narrowed; H2 recovery forecast caveated 'temporary cost increases related to U.S. EAF mill investment'. (2) HYUNDAI-FIVES GROUP DEAL Apr 15 2026 (Steel Market Update) — coil finishing lines for HPLS Louisiana confirmed; HPLS supplier ecosystem fixes architecture: Danieli (EAF) + Air Liquide (industrial gases, $350M+ ASU contract Apr 22) + Fives (coil finishing). (3) POSCO Q1 2026 EARNINGS CALL Apr 30 2026 (PKX SEC 6-K filing) — 2026 CAPEX guide previously KRW 11.3T (upstream Steel overseas + committed lithium); watch for HyREX/Gwangyang spend pace disclosure. (4) LOTTE-YNCC YEOSU PROJECT 1 final restructuring plan FILED at KFTC; Hydrocarbon Processing Apr 2026 confirms 'Lotte Chemical to merge into integrated corporation after spinning off Daesan plant'; post-merger Lotte/DL/Hanwha 1/3 each; new entity targets LDPE + medical-grade POE high-value pivot. (5) DAESAN PROJECT NO.1 govt package re-confirmed at $1.5B/KRW 2.1T (KED Global). Updated CAP_Company_Data.xlsx Hyundai Steel Data_Source + Notes.</t>
        </is>
      </c>
      <c r="D13" t="inlineStr">
        <is>
          <t>No new academic literature this PM cycle. Confirmatory sources: Seoul Economic Daily 2026-04-24 (Hyundai Q1); BigGo Finance 2026-04 (Hyundai Q1 USD conversion); Steel Market Update 2026-04-15 (Hyundai-Fives Group); Stocktitan/PKX SEC 6-K (POSCO Apr 30 call); Argus Media 2026-03 (Lotte-YNCC KFTC review); Hydrocarbon Processing 2026-04 (Lotte spin-off integrated corporation); KED Global 2026-02-25 ($1.5B Daesan package); Steel Market Update 2026-04-24 (Air Liquide HPLS deal).</t>
        </is>
      </c>
      <c r="E13" t="inlineStr">
        <is>
          <t>Three high-salience CAP findings from PM second-pass: (1) GAP 6 FINANCIAL-CONSTRAINT EMPIRICAL CONFIRMATION FOR STEEL — Hyundai Steel Q1 2026 OP ₩15.7B is 66.2% below consensus, and net loss persists, while company commits to $5.8B Louisiana CAPEX. Mirrors BCG/KCIA 48% fragile-solvency finding for Korean petchem (Day 2 entry) on the steel side. CAP framework can now cite parallel financial-constraint signal across both target sectors: Korean steel &amp; petchem majors are running near-zero margin OR negative net income while undertaking the largest decarbonization-related CAPEX in their history. CAPEX cost-efficiency (Gap 1) cannot be assessed independent of balance-sheet capacity. (2) HPLS SUPPLIER ARCHITECTURE LOCK-IN COMPLETE — With Air Liquide (Apr 22) + Fives Group (Apr 15) + Danieli (existing) all under contract by mid-Apr 2026, the HPLS Louisiana technology configuration is now structurally LOCKED — EAF-DRI with dedicated ASU oxygen feed and Fives coil finishing. This is a Gap 5 datapoint of OPPOSITE polarity to BF relining: supplier-contract lock-in confirms that 'the time to influence technology choice has already passed' for HPLS, even though ops start 2029. Frameworks that update annually (TPI, SBTi) cannot capture this kind of infrastructure path-dependency. (3) PETCHEM HIGH-VALUE PIVOT IS THE ACTUAL TARGET — Yeosu Project 1 new entity targets LDPE + medical-grade POE explicitly (per Argus). This sharpens CAP's Gap 6 narrative: Korean petchem 'decarbonization CAPEX' is in substance a portfolio shift from commodity-grade ethylene to specialty/medical-grade polymers. The decarbonization label conflates emission-intensity improvement (legitimate) with output-mix repositioning (commercial defensive move). LCOA methodology must distinguish abatement-CAPEX from product-mix-CAPEX or risk crediting commercial pivots as climate progress.</t>
        </is>
      </c>
      <c r="F13" t="inlineStr">
        <is>
          <t>1) Day 2 (Tue 4/28) Literature: Search peer-reviewed work on (a) financial-constraint × decarbonization-CAPEX interaction (corporate-level stranded-asset extension of Fennell et al. 2026 Nature Sust to Korean/Japanese steel+petchem); (b) supplier-contract lock-in / industrial-asset path-dependency (lit on infrastructure inertia). 2) Day 3 (Wed 4/29) MACC: Add HPLS supplier-architecture composite row to Tech_Portfolio_Split: $5.82B HPLS = ASU/$350M + Fives coil-finishing (TBD) + Danieli EAF (TBD) + balance; flag the supplier-contract dates as Gap 5 lock-in marker column. Add a 'Product_Mix_Pivot' tag column to Petrochem_MACC distinguishing LDPE/medical-POE specialty CAPEX from pure abatement CAPEX. 3) Day 4 Carbon Pricing: POSCO Apr 30 earnings call — capture 2026 CAPEX cadence revisions and any Phase 4 K-ETS exposure disclosure; cross-check against KRW 600B/yr exposure estimate. 4) Day 5 Brainstorm append: New section 'Financial constraint + supplier lock-in: why CAP Gap 1 must be assessed jointly with balance-sheet capacity (Hyundai Q1 2026 + HPLS Apr 2026 supplier ecosystem)'. 5) Day 6 Collaborator: Track POSCO Apr 30 call commentary; check whether Caldecott/Shrimali Oxford ITPN team has commented on Korean K-Steel Act post Apr 25 2026. 6) Day 7 Dashboard: Add HPLS supplier-architecture timeline panel (Danieli → Fives → Air Liquide); add Hyundai Q1 financial constraint annotation to existing Korean steel CAPEX panel.</t>
        </is>
      </c>
      <c r="G13" t="inlineStr">
        <is>
          <t>Completed (PM second pass)</t>
        </is>
      </c>
    </row>
    <row r="14" ht="360" customHeight="1">
      <c r="A14" s="5" t="inlineStr">
        <is>
          <t>Week 4 (Day 2)</t>
        </is>
      </c>
      <c r="B14" s="5" t="inlineStr">
        <is>
          <t>2026-04-28</t>
        </is>
      </c>
      <c r="C14" s="5" t="inlineStr">
        <is>
          <t>No new company data this entry (Day 2 = Literature focus). All Day 1 / Day 1 PM CAPEX corrections (HPLS supplier ecosystem; Korean petchem capacity-cut commitments; K-ETS KAU KRW 13,750) carry forward unchanged.</t>
        </is>
      </c>
      <c r="D14" s="5" t="inlineStr">
        <is>
          <t>11 new references added (#86–#96, total now 96). Literature 11건 모두 Apr 27 Day 1 / Day 1 PM Action Items 직접 응답: (A) CROSS-JURISDICTIONAL CAPEX REALLOCATION — Ng-Wang-Yu ECGI 877/2023 (#89) 51개국 패널 multinational arbitrage 입증 + LBS Voigtländer/Berger 2025 (#96) 프랑스 탄소세→아프리카 자회사 +2.4% emissions 사례연구 = POSCO Louisiana $5.82B의 학술 backbone 2건 확보. (B) PATH-DEPENDENCY/LOCK-IN — Herman/Hall/Sovacool/Iskandarova 2025 Ecological Economics (#87) UK 산업 IDP 65 interview/30 site visit (Sovacool은 외부 reviewer 후보) + Kuipers/Faber 2019 EIST (#90) Dutch petchem cluster 5-source lock-in (Yeosu·Mizushima에 직접 이식) + Trencher 2023 ERSS (#91) lock-in dual-nature 개념. (C) STRANDED ASSETS BACKBONE — Daumas 2024 J Econ Surveys 38(3) (#88) 116-page critical review = CAP Gap 5 학술 표준 인용. (D) GREEN STEEL CBAM EMERGING MARKETS — Hyll/Toktarova et al. 2025 Nature Communications (#86) H2-DRI hub 호주·브라질·아프리카 vs Korea/Japan 구조적 비용 열위, Wang et al. 2025 Nature와 정합. (E) KOREA POLICY — KSSB Korea ISSB-aligned mandate 2028 (#92) FSC 2026-02-25 발표 → CAP 12개 대상기업 모두 1차 적용. (F) SUPPLIER LOCK-IN — Air Liquide 2026-04-22 PR + thyssenkrupp ESCALATE LT (#93) 양극 사례 (HPLS Apr 2026 lock-in / 유럽 BF→DRI). (G) NGO/STANDARD GAP — WWF Red Flag Indicators (#94) + CFA Transition Finance Action List (#95) — CAP positioning 직접 인용 자료.</t>
        </is>
      </c>
      <c r="E14" s="5" t="inlineStr">
        <is>
          <t>여섯 high-salience CAP findings from Week 4 Day 2 literature pass: (1) GAP 5 학술 BACKBONE 완성 — Daumas 2024 (#88, 116-page critical review) + Herman et al. 2025 IDP (#87) + Trencher 2023 (#91) + Kuipers 2019 (#90) 4건이 결합되어 CAP Gap 5(투자 타이밍 무시·자산 좌초)의 이론적 토대 paragraph 표준 set 확보. 향후 논문 Introduction에서 "stranded asset 정의(Daumas)→industrial decarbonization paradigm(Herman)→cluster lock-in 메커니즘(Kuipers)→tech 채택 dual-nature(Trencher)" 4-step 학술 narrative 가능. (2) GAP 6(defensive restructuring + financial constraint) 학술 ANCHOR 확보 — Ng-Wang-Yu ECGI 877 (#89)의 핵심 4-finding 중 (a) 재무제약 firm은 abatement CAPEX 가능성 낮음 + (d) 다국적기업 emission-intensive 활동 해외 이전이 CAP의 두 empirical 사례(Hyundai Q1 2026 OP 66% below consensus + POSCO Louisiana $5.82B)를 동시에 학술적으로 입증. CAP는 이 두 메커니즘을 LCOA에 명시 통합한 첫 framework로 positioned 가능. (3) CROSS-JURISDICTIONAL CAPEX REALLOCATION이 학술적으로 새 차원 — LBS 2025 (#96) 프랑스 사례 +2.4% emissions의 정량 결과는 POSCO Louisiana의 amount(20% equity, $582M, 0.6Mtpa attributable capacity, ~$970/Mtpa)를 분석하는 정확한 비교점 제공. CAP framework에 신규 컬럼 "Domestic_CAPEX_USD_M" + "Offshore_CAPEX_USD_M" + "K-ETS_Coverage_Yes/No" 신설 정당화. (4) HYLL et al. 2025 NATURE COMMUNICATIONS (#86)은 Wang et al. 2025 Nature(#78)와 정확히 상보적 — Wang은 plant-level least-cost pathway, Hyll은 EU CBAM 정책충격이 글로벌 green steel 시장 형성에 미치는 영향. CAP Steel_MACC 시각화에 두 paper의 Korean/Japanese 데이터 점을 동시 표시하면 (a) 기술별 비용 (Wang) (b) 정책충격 후 시장 재편 위치(Hyll) 이중 좌표 가능. (5) KSSB 2028 의무화(#92)는 CAP framework 보급 timing의 KEY ENABLER — 2028년 KOSPI 자산 ≥KRW 30T 기업이 KSSB 2 보고 시작 시점에서 CAP CAPEX cost-efficiency 메트릭이 "보고 보완 도구"로 자리 잡을 6-12개월 window가 2026 H2-2027 H1. CAP 논문 publication target은 2027 H1로 배치 권장. (6) SUPPLIER LOCK-IN PROXY 정량화 가능성 — Air Liquide LT 계약(#93) + Hyundai-Fives + Danieli 등 supplier 계약 announcement date를 시계열로 trace하면 "tech 결정의 실제 lock-in 시점" 추정 가능. CAP framework에 "Supplier_Architecture_Lock-in_Date" 컬럼 신설. HPLS는 Apr 2026 lock-in 완료 / ops 2029 → 3년 lead window. POSCO HyREX는 Pohang 부지승인 2026 + Tier-1 supplier 미확정 → 아직 lock-in 미발생 (Gap 5 분석 반전 기회).</t>
        </is>
      </c>
      <c r="F14" s="5" t="inlineStr">
        <is>
          <t>1) Day 3 (Wed 2026-04-29) MACC: (a) Tech_Portfolio_Split에 'POSCO HPLS 20% Louisiana' 행 추가 ($582M / 0.6Mtpa attributable / $970M-per-Mtpa); (b) Domestic vs Offshore 분리 컬럼 신설; (c) Air Liquide LT 계약일자 + Fives + Danieli announcement 일자를 'Supplier_Lock-in_Date' 컬럼으로 trace하여 HPLS 행에 기록; (d) Lotte/DL/Hanwha YNCC 행에 -1,385kt/yr negative-CAPEX entry; LG Chem Yeosu NCC No.2 -800kt halt 반영. 2) Day 4 (Thu) Carbon Pricing: K-ETS spot KRW 13,750 + KSSB 2028 mandate를 CAP Carbon_Pricing_Comparison sheet에 disclosure-regime 변수로 추가 (Korea: K-ETS price + KSSB disclosure / Japan: GX-ETS + TCFD-equivalent / EU: CBAM + ETS + ESRS). 3) Day 5 (Fri) Brainstorm: 새 섹션 'Path-dependency in CAP framework: integrating Daumas 2024 + Herman 2025 + Kuipers 2019 + Trencher 2023' (학술 backbone 4-step paragraph) + 'Cross-jurisdictional CAPEX reallocation: POSCO Louisiana as Asian extension of Ng-Wang-Yu/LBS multinational-arbitrage hypothesis' 작성. LCOA methodology에 Daumas 2024 stranded-value formula 명시 인용. 4) Day 6 (Sat) Collaborator: Sovacool(Sussex/Aarhus, #87 IDP) + Trencher(#91 lock-in conceptualization) + Kuipers(EUR Erasmus, #90 Dutch petchem) 학술 outreach map 작성; UCL Wu/Meng/Liang(#78) + Caldecott/Shrimali(#69·#71) network와 통합. WWF Switzerland Red Flag Indicators 팀(#94)에 CAP framework 공유 검토. 5) Day 7 (Sun) Dashboard: Hyll 2025 Nat Comms(#86)와 Wang 2025 Nature(#78) 데이터 동시 표시한 Korean/Japanese steel cost-efficiency panel 추가; Air Liquide-HPLS supplier ecosystem timeline panel(2024 thyssenkrupp ESCALATE → 2026 Apr HPLS) 추가. 6) Brainstorm doc append: Week 4 Day 2 entry — 6 high-salience findings 위 항목 + LCOA methodology section에 Daumas 2024 + Ng-Wang-Yu 2023 표준 인용 적용. 7) 학술 reviewer outreach 단계화: (a) v0.1 draft 완성 후 UCL Bartlett(Wu/Meng/Liang) + Sovacool + Caldecott 1차; (b) v0.2 후 Dietz(LSE-TPI) + Karplus(CMU) + Hepburn(Oxford) + Wagner(Columbia) 2차. 8) 본 11건 추가로 학술 peer-reviewed 비중 추가 향상 (이번 batch 7건 academic/4건 정책-NGO).</t>
        </is>
      </c>
      <c r="G14" s="5" t="inlineStr">
        <is>
          <t>Completed</t>
        </is>
      </c>
    </row>
    <row r="15">
      <c r="A15" t="inlineStr">
        <is>
          <t>Week 4 (Day 4)</t>
        </is>
      </c>
      <c r="B15" t="inlineStr">
        <is>
          <t>2026-04-30</t>
        </is>
      </c>
      <c r="C15" t="inlineStr">
        <is>
          <t>Day 4 Carbon Pricing &amp; Policy Update (Thu 2026-04-30). KOREA: (1) KAU25 KRW 16,700/t ($11.35) on 2026-04-26 (OPIS) — +KRW 200/t since K-MSR news; +21% w/w; +75% vs early-Mar KRW 13,750. (2) K-MSR (quantity-based) Phase 4 amendment approved late Apr 2026 (Enforcement Decree). (3) Coal cap (80%) lifted Mar 2026 amid LNG disruption — upside compliance pressure. (4) ROK Climate-Energy Min. Kim Seong-Hwan Cabinet 'National Sovereignty Govt Energy Transition Promotion Plan' (2026-04-06): petchem to 'shift to high value-added via electric NCC + process efficiency'. (5) For Our Climate 2026-04-10 NCC electrification forum: Yeosu/Daesan/Ulsan electrification CAPEX 91 trillion KRW + 91.4 TWh/yr (≈9 nuclear plants). (6) Govt-mandated 25% petchem capacity cut (3.7 Mtpa naphtha, 10 groups) tied to fiscal/tax support. JAPAN: (1) GX-ETS mandatory phase live since 2026-04-01; ¥1,700-4,300/tCO2e corridor confirmed by METI for FY2026 ($10.64-26.91). (2) S&amp;P Global 2026-04-08 — credit demand muted as firms await allocation clarity. (3) Free allocation: company-by-company benchmarks (steel by furnace type), grandparenting elsewhere. EU: (1) EUA traded €74-€76 in late Apr 2026; Dec'26 futures peaked €77.5 on Apr 17 then softened (Middle East peace talks); spot range pre-MSR-reform €74.8 (Apr 1 7-wk high) up to €84.2 reported. (2) CBAM Q1 2026 official price €75.36/tCO2e published 2026-04-07; Q2 due 2026-07-06; Q3 Oct 5; Q4 Jan 4 2027. (3) Definitive phase live since 2026-01-01; phase-in factor 2.5% (2026)→5% (2027)→~50% (2030)→100% (2034). (4) For BF-BOF HRC default-value calc = €100.55/t product Q1.</t>
        </is>
      </c>
      <c r="D15" t="inlineStr">
        <is>
          <t>No new academic literature this entry (Day 4 = carbon pricing focus). Confirmatory sources: OPIS via MarketScreener 2026-04-27 (KAU25 KRW 16,700); ICAP K-ETS Phase 4 plan (Nov 2025); Eco-Business 2026-Q1 (KAU 50% YTD jump); S&amp;P Global Commodity Insights 2026-04-07 (CBAM €75.36) and 2026-04-08 (GX-ETS muted demand); Fastmarkets 2026-04 (€100.55/t HRC default); EmbaPower 2026-04-02 (MSR minimal reform); IndexBox 2026-04 (EUA €74-76 range); ICAP Japan GX-ETS factsheet; Asia Business Daily 2026-04-11 (NCC electricity demand = 9 nuclear plants); ME ROK press 2026-04-06 (Cabinet energy transition plan); Korea Herald 2026-04-25 (KDB 250조 growth push); EnergyNews 2026 (25% NCC cut mandate); ICLEI 2026 (Yeosu CW3); Carbon Pulse 2026 (GX-ETS floor/ceiling rules).</t>
        </is>
      </c>
      <c r="E15" t="inlineStr">
        <is>
          <t>여섯 high-salience CAP findings from Day 4 carbon pricing pass: (1) K-ETS RALLY-+-MSR-+-COAL-CAP-LIFT TRIPLE EVENT — KAU25 KRW 16,700 ($11.35) on 2026-04-26 is the highest sustained K-ETS print in 3 years; combined with K-MSR amendment + coal cap lift, Korea's compliance-side carbon signal has finally become bidirectional. But $11 is still 7x below EU EUA (~$83) and 9x below CBAM Q1 cert (€75.36 ≈ $90). (2) FIRST TIME K-ETS PRICE + POLICY MOVE IN SAME DIRECTION — historically K-ETS price weakness and 100% free-allocation generosity to steel/petchem moved together (corporate influence per InfluenceMap KOSA 2022). Apr 2026 is the first inflection: K-MSR + coal-cap-lift + NCC capacity-cut mandate + 91조 KRW electrification estimate are all converging signals. CAP narrative lever: 'Korea Phase 4 first half (2026-2027) is the policy-turning-point window; CAP-style LCOA evaluation becomes timely.' (3) GX-ETS-CORRIDOR-VS-EUA STRUCTURAL GAP — even at GX-ETS upper ¥4,300 ($26.91), JP corridor still 3x below EU EUA (~$83). For Nippon EAF + Mitsubishi/Mitsui Chem CCS investments, GX-ETS price corridor fails to close LCOA gap. Reinforces Gap 3 thesis empirically with FY2026 live data. (4) CBAM Q1 OFFICIAL PRICE = HARD ANCHOR — €75.36/tCO2e is now the published hard anchor for KR/JP steel exporters' EU-bound CAPEX decisions. With phase-in factor 2.5% in 2026 → effective levy ~€1.88/t (small) but rises to ~50% by 2030 (~€38/t at constant EUA) and 100% by 2034 (~€75/t). The CBAM forward NPV is now CALCULABLE FOR THE FIRST TIME with official cert price. Action: compute CBAM-NPV for POSCO Pohang, Hyundai Dangjin, Nippon Yawata, JFE export volumes. (5) KR PETCHEM ELECTRIFICATION CAPEX 91 trillion KRW = $66B — massive top-down CAPEX number for Yeosu/Daesan/Ulsan NCC electrification (For Our Climate 2026-04-10). Implied 91.4 TWh/yr (9 nuke plants) is structurally infeasible without grid CAPEX too. CAP angle: this is precisely the kind of headline CAPEX number that 'snapshot' frameworks (TPI/CA100+) accept at face value, while CAP's MIDDLE-layer LCOA + asset-lifecycle would expose that even 91조 won doesn't equal the right CAPEX allocation across NCCs given staggered cracker ages and remaining life. (6) UNFCCC CW3 YEOSU 4/21-25 OUTPUT INTEGRATION — Climate Week-3 Yeosu (4/21-25) explicitly themed 'green industrialization' with petchem as anchor; multiple ICLEI / IC subnational announcements. Need to scrape CW3 outcome documents and tag references to Gap 3-4-5 in CAP_Literature_References.</t>
        </is>
      </c>
      <c r="F15" t="inlineStr">
        <is>
          <t>1) Day 5 (Fri 2026-05-01) Brainstorm Synthesis: append Day 4 carbon-pricing block to CAP_Brainstorm_Notes.docx with explicit LCOA implication — at K-ETS $11 / GX-ETS $11-27 / EU $83-90, compute breakeven-carbon-price gap per company; flag that Korea is now the first major Asian ETS where the carbon-price + free-allocation + capacity-mandate + electrification-CAPEX vectors all align. Frame this as the 'CAP-relevant policy-turning-point window'. 2) Compute CBAM forward NPV per company: POSCO (Pohang), Hyundai (Dangjin), Nippon (Yawata/Hirohata/Shunan), JFE (Kurashiki/Fukuyama) — using 2.5%/5%/.../50%/100% phase-in trajectory × €75.36 anchor × EU-export volume × emission intensity per route. Add as Gap 3 quantification in dashboard. 3) Update Tech_Portfolio_Split: re-test breakeven carbon price for POSCO HyREX, Hyundai EAF, Nippon EAF, JFE EAF, Korean petchem electric NCC under (a) K-ETS spot $11.35, (b) K-ETS projected $15-20, (c) GX-ETS upper $26.91, (d) EU EUA $83. Show which technology is rendered viable at each price. 4) Add a 'Korean Petchem Electrification 91조 KRW' row to Tech_Portfolio_Split with notes on grid-CAPEX co-requirement and 9-nuclear-plant power demand. 5) Day 6 (Sat 2026-05-02) Collaborator: track CW3 Yeosu CW3 outputs (ICLEI subnational/Implementation Forum 23-24 Apr) and tag relevant items into CAP_Literature_References with Gap-3 / Gap-4 tags. 6) Pending from Day 1 PM: Hyundai Steel Q1 financial-constraint × decarbonization CAPEX synthesis with Day 4 K-ETS surge — does the K-ETS rally make Hyundai's 66% OP miss WORSE for the financial-constraint × CAPEX channel? (Yes, a priori, but worth quantifying).</t>
        </is>
      </c>
      <c r="G15" t="inlineStr">
        <is>
          <t>Completed</t>
        </is>
      </c>
    </row>
    <row r="16">
      <c r="A16" t="inlineStr">
        <is>
          <t>Week 4 (Day 6)</t>
        </is>
      </c>
      <c r="B16" t="inlineStr">
        <is>
          <t>2026-05-02</t>
        </is>
      </c>
      <c r="C16" t="inlineStr">
        <is>
          <t>No new company data this entry (Day 6 = Collaborator &amp; Publication Tracking).</t>
        </is>
      </c>
      <c r="D16" t="inlineStr">
        <is>
          <t>12 new references added (#97–#108, total now 108). 핵심 신규 (a) NGO BENCHMARK: SteelWatch Corporate Scorecard 2026 (Mar 31 2026 release, #97) — 18사 평가, SSAB 46.2/100 1위, Nippon Steel 16.8 (17/18), POSCO·Hyundai 최하위권. (b) ACADEMIC CORE: Dietz &amp; Hastreiter 2026 LSE Grantham (#98) net-zero target ex-post 효과 실증; Karplus 2026 Env Sci Tech (#99) HDRI design choice open-source LCOA framework; Karplus PNAS 2025 (#100) regional workforce decarbonization (Hyundai-POSCO Louisiana 한국→미국 reverse parallel); Wagner/Fillon/Linsenmeier TMEC 2026 (#101) climate shift uncertainty × economic damages. (c) TPI 2026 트랙: Korea event Apr 26 (#102), 2026 CP calendar (chemicals 추가, #103), Korea FSC consultation Mar 25 (#104). (d) FRAMEWORK: CA100+ Apr 2026 framework update (chemicals scenario gap, #105). (e) CONFERENCES: UNFCCC CW3 Yeosu Apr 21-25 (#106), LSE May 14 2026 "Investable transition opportunities" (#107), Japan CCUS Summit Tokyo Oct 19-20 (#108).</t>
        </is>
      </c>
      <c r="E16" t="inlineStr">
        <is>
          <t>여섯 high-salience CAP findings from Day 6 collaborator-tracking: (1) STEELWATCH SCORECARD 2026 + CAP LCOA = 2D MATRIX 가능성 — SteelWatch는 transition readiness scoring을 하지만 CAPEX cost-efficiency ($/tCO2) 차원이 부재. CAP가 SteelWatch 점수에 LCOA를 곱하면 "readiness × cost-efficiency" 2D 매트릭스 산출. POSCO HyREX = (낮은 SteelWatch 점수, $1,847/tCO2) = "willing-but-prohibitively-expensive" 셀; Nippon = (16.8, $267) = "unwilling and inefficient"; JFE = (mid, $154) = "moderately ready and cost-effective". 이 매트릭스가 CAP working paper의 핵심 visualization 후보. (2) DIETZ 2026 PAPER가 CAP의 RAISON D'ÊTRE 논증 — Dietz/Hastreiter 2026이 "net-zero target adoption만으로는 emissions 감소 보장 안 됨"을 실증. CAP framework가 정확히 "target에 더해 CAPEX cost-efficiency가 필요"라는 점을 채움 → CAP introduction에서 본 paper를 "motivation citation"으로 사용 권장. Dietz 외부 검토 1순위 collaborator 재확인. (3) KARPLUS HDRI FRAMEWORK = CAP MACC CALIBRATION 직접 활용 — Karplus 2026 Env Sci Tech open-source HDRI cost model을 POSCO HyREX, Hyundai-POSCO Louisiana, Nippon Yawata EAF, Hirohata 110t H2 furnace 등 6개 한국·일본 프로젝트에 적용해 plant-level cost curve 산출 가능. CAP Tech_Portfolio_Split의 Implied_MACC_USD_per_tCO2 컬럼을 학술적 calibration 값으로 교체할 수 있음. open-source = code-level CAP integration 가능. (4) TPI 2026 KOREA + CHEMICALS PIVOT = CAP TIMING WINDOW — TPI가 (a) Korea spotlight event (#102), (b) Korea FSC consultation (#104), (c) 2026 chemicals sector 추가 (#103)를 동시 추진. CAP Petchem_MACC 7사 (LG/Lotte/SK/Hanwha + Mitsubishi/Mitsui/Asahi Kasei)가 곧 TPI assessment 대상에 진입 예정 → CAP의 LCOA layer가 "TPI chemicals 보완"으로 positioning할 6-12개월 골든 윈도우. (5) CA100+ CHEMICALS METHODOLOGY GAP 명시 — CA100+ Apr 2026 framework update에서 chemicals는 credible 1.5°C scenario methodology 부재로 alignment 평가 미수행. 정확히 CAP Petrochem_MACC + LCOA가 채울 공백. CAP가 RMI methodology에 LCOA layer 추가 형태로 CA100+ chemicals assessment에 통합 제안 가능. (6) WAGNER 2026 TMEC = ASSET TIMING + CARBON PRICE UNCERTAINTY 학술 hook — Wagner/Fillon/Linsenmeier "climate shift uncertainty × economic damages" framing이 CAP Gap 4/5 (annual snapshot의 investment timing 무시)에 직접 이식. BF relining 결정 시점 (POSCO 2027-2030, Nippon No.4 BF/JFE No.2 BF 2028) × K-ETS Phase 4 carbon price uncertainty의 option value 분석에 활용. Wagner Columbia BS = CAP financial framing 외부 검토 1순위.</t>
        </is>
      </c>
      <c r="F16" t="inlineStr">
        <is>
          <t>1) Day 7 Dashboard (내일 일요일 5/3): CAP_MACC_Dashboard.html에 (a) SteelWatch Scorecard 2026 점수 vs CAP Implied_MACC 2D 산점도 모듈 추가; (b) TPI 2026 CP calendar + chemicals 추가 timing을 "upcoming external assessments" 박스로 표시. 2) Week 5 Day 1 (Mon 5/4) Data: SteelWatch Scorecard 2026 PDF deep-read하여 18개 회사 개별 점수 추출 + 한국·일본 7사 항목별 점수 (coal phase-out, BF retirement, future strategy/CAPEX alignment, emissions trajectory) 표 작성. 3) Week 5 Day 2 (Tue 5/5) Literature: Dietz &amp; Hastreiter 2026 full text 정독 후 CAP introduction에 "motivation citation"으로 통합; Karplus 2026 HDRI open-source code repo fork 검토 (CAP code repo에 통합 가능성 평가). 4) Week 5 Day 3 (Wed 5/6) MACC: Karplus HDRI framework를 POSCO HyREX, Hyundai-POSCO Louisiana, Nippon Yawata EAF에 적용한 calibration run; CAP Tech_Portfolio_Split의 Implied_MACC_USD_per_tCO2 학술적 보정. 5) 5월 14일 LSE "Investable transition opportunities" 행사 등록 검토 (online 옵션 확인); CAP working paper draft 1-pager를 LSE Grantham/TPI에 share할 timing으로 활용. 6) Wagner TMEC 6/25 발표 paper 공개 모니터링.</t>
        </is>
      </c>
      <c r="G16" t="inlineStr">
        <is>
          <t>Completed</t>
        </is>
      </c>
    </row>
    <row r="17">
      <c r="A17" t="inlineStr">
        <is>
          <t>Week 5 (Day 1)</t>
        </is>
      </c>
      <c r="B17" t="inlineStr">
        <is>
          <t>2026-05-04</t>
        </is>
      </c>
      <c r="C17" t="inlineStr">
        <is>
          <t>Week 5 Day 1 Data Enhancement (Mon 2026-05-04). STEEL: (1) POSCO Q1 2026 EARNINGS Apr 30 2026 (PKX 6-K) — rev KRW 17.9T (+6.1% QoQ, +2.5% YoY), OP KRW 707B (margin 4.0% vs 0.1% Q4), net profit KRW 467B (+54.6% YoY); Q1 CAPEX KRW 1.7T consolidated / KRW 14.4B separate; targets up to 40% shareholder return; Argentina lithium first monthly profit Mar 2026 + SK On 25kt supply deal. (2) POSCO-JSW INDIA 6MTPA JV announced Apr 20 2026 — 50:50, 6Mtpa greenfield BLAST-FURNACE integrated mill in Odisha, full ironmaking-to-galvanizing chain, ops 2031 (worldsteel/POSCO Newsroom/JSW PR). NEW BF lock-in parallel to HyREX domestic commitment — Gap 5 flagship datapoint. (3) HYUNDAI STEEL LOUISIANA — Entergy electric service agreement signed early May 2026 (Weekly Citizen 2026-05-02); pre-construction Mississippi west bank Modeste area May 2026; full construction Q3 2026; ~70% lower CO2 vs BF. (4) NIPPON STEEL — COURSE50 large-scale demonstration at Kimitsu BF begins 2026 (full FY2030); Super COURSE50 pilot 43% CO2 cut → commercial ~2040 (Nippon Steel CN page). PETCHEM: (5) LG CHEM Q1 2026 — consolidated OP loss KRW 49.7B (vs +KRW 437.7B YoY); petchem OP KRW 164.8B but driven by ONE-OFF effects (Mid-East feedstock inventory lag + EU AD refund); LGES -KRW 207.8B. (6) HANWHA SOLUTIONS Q1 2026 — OP KRW 92.6B (+205.5% YoY); ALL DIVISIONS in profit; CHEM OP KRW 34.1B = FIRST CHEM PROFIT IN 2.5YR; Renewable OP KRW 62.2B; Cartersville GA cell line mass production FROM Q3 2026. (7) JAPAN TRI-PARTY (Asahi+Mitsui+Mitsubishi) — AMEC Mizushima closure → consolidation at OPC Takaishi by FY2030 re-confirmed; commercial bio-chemicals FY2034 (Revolefin); METI HtA Support Program FY2025 filed jointly. CARBON PRICING: (8) CBAM Q2 2026 certificate price scheduled for publication 2026-07-06 (Q3 Oct 5, Q4 Jan 4 2027); iron &amp; steel default-value MARK-UP scales 10% (2026) → 30% (2028) per EU Regulation 2025/2621.</t>
        </is>
      </c>
      <c r="D17" t="inlineStr">
        <is>
          <t>No new literature added (Day 1 = Data focus). Carry forward Wang et al. 2025 Nature, Liu/Glynn ScienceDirect Mar 2026, Lee &amp; Choi 2025 ACS Sus Chem Eng, Transition Asia Korea Factsheet, SteelWatch Nippon Steel CCA 2025.</t>
        </is>
      </c>
      <c r="E17" t="inlineStr">
        <is>
          <t>여섯 high-salience CAP findings from Week 5 Day 1 (May 4 2026): (1) **POSCO-JSW INDIA 6MTPA BF JV — CAP GAP 5 FLAGSHIP DATAPOINT.** POSCO simultaneously announced (a) Q1 2026 results showing strong profit rebound and (b) a 50:50 JV with JSW for a NEW 6Mtpa BLAST-FURNACE-based integrated mill in Odisha India, operational 2031. This is the most explicit example to date of the parallel-track lock-in pattern CAP critiques: same company committing fresh capital to BF technology for 30+ year asset lives WHILE commercializing HyREX domestically by 2030. The India JV is BF-based explicitly because of low-carbon ambiguity — JSW holds renewable energy infrastructure but the production route remains coal-based ironmaking. Combined w/ Pohang/Gwangyang reline locks-in already documented, POSCO's CAPEX allocation reveals that 'HyREX-as-flagship' framing dominates ESG reporting while majority of incremental capacity additions remain BF. **For TPI/SBTi/CA100+ frameworks, this is the central blind spot CAP exposes** — annual Scope 1/2 percentage targets are silent on capacity-mix evolution and depreciation lock-in across overseas JVs. (2) POSCO Q1 CAPEX RUN-RATE SIGNAL — KRW 1.7T quarterly = ~KRW 6.8T annualized vs 2026 guide KRW 11.3T means H2 ramp loaded; HyREX/Gwangyang spending will dominate Q2-Q4 disclosure. Add as MACC pacing tracker. (3) GAP 6 KOREAN PETCHEM DISPERSION CONFIRMED — same K-ETS regime, same post-Mar 2026 KAU rally, but LG Chem swings to LOSS while Hanwha posts +205% OP recovery. The differentiator is portfolio mix (Hanwha = renewable+chem hybrid, LG = pure-petchem). For LCOA modeling this means within-country dispersion in carbon-pricing pass-through is enormous — sectoral benchmarks miss it entirely. (4) LG CHEM ONE-OFF DEPENDENCY — Q1 petchem OP KRW 164.8B explicitly attributed to (a) inventory lag from Mid-East feedstock spike and (b) one-time EU anti-dumping refund. Without these, petchem OP would have been negative. CAPEX commitments (Daesan HVO 400kt, Yeosu 1 NCC restructuring, Yeosu NCC No.2 already shut) are being made against a base of structurally negative profitability — heightened stranded-asset risk in MIDDLE-layer CAP analysis. (5) HYUNDAI STEEL LOUISIANA TIMELINE — full construction now Q3 2026, not earlier as some cycles suggested; 2029 ops target intact. Power supply (Entergy) and supplier ecosystem (Danieli EAF + Air Liquide gases + Fives finishing) all locked in. The ~$5.8B figure remains the single largest greenfield EAF in N. America. (6) JAPAN COURSE50 SCHEDULE LANDED — Nippon Steel's Kimitsu large-scale COURSE50 demo BEGINS 2026 (full FY2030); Super-COURSE50 pilot 43% CO2 cut → commercial ~2040. Critical timing data for BF_Relining_Asset_Life sheet — Kimitsu reline windows must be cross-checked vs COURSE50 deployment dates for stranded-asset analysis.</t>
        </is>
      </c>
      <c r="F17" t="inlineStr">
        <is>
          <t>1) Day 3 MACC refinement: add POSCO-JSW India JV row to Tech_Portfolio_Split as a 'parallel BF lock-in' flag w/ Implied_MACC = N/A (BF baseline) and 2031 ops / ~2061 asset-life-end. 2) Day 3: re-examine BF_Relining_Asset_Life — add Kimitsu / Yawata reline schedule cross-walk vs Nippon Steel COURSE50 timing; Yawata BF shutdown FY2028 already in sheet. 3) Day 5 brainstorm: develop the PARALLEL-TRACK LOCK-IN framing as a separate CAP analytic — NOT just 'Gap 5 timing' but explicit acknowledgment that frontier-tech announcements (HyREX, COURSE50) coexist with BF expansions in same companies' CAPEX plans. 4) Day 4 carbon pricing: track K-ETS KAU25 May trajectory and CBAM Q2 announcement July 6. 5) Day 7 dashboard: visualize POSCO domestic decarbonization CAPEX vs India JV BF CAPEX ratio as a parallel-track gauge.</t>
        </is>
      </c>
      <c r="G17" t="inlineStr">
        <is>
          <t>Done</t>
        </is>
      </c>
    </row>
    <row r="18">
      <c r="A18" t="inlineStr">
        <is>
          <t>Week 5 (Day 2)</t>
        </is>
      </c>
      <c r="B18" t="inlineStr">
        <is>
          <t>2026-05-05</t>
        </is>
      </c>
      <c r="C18" t="inlineStr">
        <is>
          <t>No new company data this entry (Day 2 = Literature focus). Day 1 (May 4) findings carry forward unchanged: POSCO-JSW India 6Mtpa BF JV (Apr 20 2026, ops 2031), POSCO Q1 2026 strong rebound (rev KRW 17.9T / OP KRW 707B / Q1 CAPEX KRW 1.7T), Hyundai Steel Louisiana Entergy power agreement + Q3 2026 full construction start, Nippon COURSE50 Kimitsu 2026 demo / Super-COURSE50 commercial ~2040, LG Chem Q1 OP loss KRW 49.7B with petchem +KRW 164.8B from one-off effects only, Hanwha Solutions Q1 +205% OP recovery (first chem profit in 2.5yr), Japan tri-party Asahi+Mitsui+Mitsubishi AMEC consolidation at OPC Takaishi by FY2030, K-ETS KAU25 KRW 16,700 ($11.35) Apr 26 2026, CBAM Q2 2026 cert price scheduled Jul 6 publication.</t>
        </is>
      </c>
      <c r="D18" t="inlineStr">
        <is>
          <t>10 new references added (#109-#118, total now 118). Day 2 batch directly responsive to Day 1 May 4 Action Items + Day 6 May 2 carry-forward (Dietz-Hastreiter deep-read, Karplus HDRI repo eval, parallel-track lock-in trace) + new high-value finds. (A) STRANDED ASSETS METHOD UPDATE — #109 Glück et al. 2026 ScienceDirect 'Stranded futures?' (5 hard-to-abate sectors x 6 developed economies, asset-level methodology w/ carbon-pricing exposure, chemicals/refineries highest stranded-risk + steel highest absolute value-at-risk). Extends Daumas 2024 #88 critical review to numerical empirical level. (B) NET-ZERO MISALIGNMENT NATURE COMMS — #110 Manych/Vorisek/Held/Tian/Bauer 2026-03-08 Nat Comms s41467-026-70481-5: bottom-up plant-level method shows global steel projected 2030 emissions exceed NZE 10-22%, exceed companies' own targets, gap concentrated in largest companies. **CAP introduction motivation citation #1**. (C) US STEEL NET-ZERO PATHWAY — #111 Liu, Glynn et al. 2026-01 Energy Policy S0301421526000583. CAP Hyundai-POSCO Louisiana cross-jurisdictional grid LCOA frame. Glynn Columbia CGEP = additional reviewer cluster outside Oxford SSEE/UCL. (D) BASIC CHEMICALS DECARB SCENARIO — #112 ACS Env Sci Tech 10.1021/acs.est.5c12769 (arXiv 2509.08279): olefins/aromatics/methanol/ammonia/chlor-alkali x 4 region modeling. $1T+ cumulative + $3.2B/yr above BAU 2025-2050. NA/EU 2050 vs China/ME 2060 deep-decarb timeline. **CAP Petrochem_MACC sheet 가장 직접 학술 calibration source**. (E) EU CARBON PRICING CORPORATE — #113 García et al. 2026 BSE 10.1002/bse.70324: EU carbon price + green innovation positive relation; CAP K-ETS Phase 4 Korean steel/petchem replication 정당화. (F) CARBON PRICING UMBRELLA REVIEW — #114 arXiv 2512.06887 (Dec 2025): -10.4% combined effect across 21 schemes, carbon tax &gt; ETS, &lt;16% voluntary offsets real. CAP Gap 3 backbone + SBTi BVCM #19 cross-reference. (G) JAPAN STEEL BNEF — #115 BNEF 2025-12-03 Tokyo Steel commissioned: Japan policy favors incumbent BF-BOF, exact CAP Gap 1·4 critique. CAP Nippon/JFE/Kobe analysis directly cited. (H) INDIA STEEL TRANSITION FINANCE — #116 CPI + Berkeley IECC 2025-2026: india BF-BOF dependence, no domestic carbon price, CBAM exposure 80% HRC 2030. **POSCO-JSW Odisha 6Mtpa BF JV (Day 1 finding) cross-jurisdictional CAPEX reallocation 학술 backbone** — Ng-Wang-Yu #89 + LBS #96 + Hyundai-POSCO Louisiana #111 (US EAF) + POSCO-Odisha BF (#116) 4-case set. (I) GLOBAL STEEL ROADMAP COMPARATOR — #117 Liu Q. et al. 2025-01 RCR S0195925525000046: roadmap source-별 LCOA 가정 ~30% spread. CAP Gap 4 backbone. (J) CBAM Q1 OFFICIAL — #118 EC 2026-04-07 €75.36/tCO2e + Fastmarkets/GEI cost pass-through analysis (이미 #15 Day 4 entry에서 인용했으나 official cert price 공식 출처 묶음 정리). Phase-in 2.5%→100% 2026-2034 NPV 계산 input.</t>
        </is>
      </c>
      <c r="E18" t="inlineStr">
        <is>
          <t>여섯 high-salience CAP findings from Week 5 Day 2 literature pass: (1) **CAP MOTIVATION CITATION SET 완성** — Manych et al. 2026 Nat Comms (#110) + Dietz-Hastreiter 2026 LSE (#98) + Glück et al. 2026 ScienceDirect (#109)이 결합되어 CAP working paper introduction의 3-step motivation citation 표준 set 확보. 'targets adoption은 emissions 감소 보장 안 됨(Dietz)→plant-level alignment 측정 시 10-22% gap 존재(Manych)→chemicals/steel stranded-asset risk가 가속 정책에서 가장 큼(Glück)→CAP는 이 gap 해소에 필요한 CAPEX cost-efficiency layer를 제공'. 2026 발간 3건 모두 CAP working paper 시점(2027 H1 target)과 정확 align. (2) **POSCO-JSW INDIA 6MTPA BF JV(Apr 20 2026) — PARALLEL-TRACK LOCK-IN 학술 backbone 완성**. CPI India + Berkeley IECC(#116)가 인도 steel 정책 환경(BF-BOF dependence, no domestic carbon price, CBAM HRC 80% 2030 exposure) 정량 묘사 → POSCO Odisha BF JV 결정의 정책적 합리성 입증 + CAP 동일 회사 cross-jurisdictional 4-case framework 가능: (a) POSCO 도메스틱 Pohang HyREX KRW 20T = frontier-tech bet, (b) POSCO Odisha India 6Mtpa BF = jurisdictional arbitrage, (c) Hyundai 도메스틱 Dangjin hybrid BF-EAF = 보수적 점진, (d) Hyundai-POSCO Louisiana $5.82B EAF = US grid + IRA arbitrage. CAP가 본 4-case를 'cross-jurisdictional CAPEX reallocation × tech aggressiveness' 2D 매트릭스로 시각화 가능 — 신규 dashboard panel candidate. (3) **CHEMICALS DEEP-DECARB COST ANCHOR — ACS 2026 paper(#112)가 CAP Petrochem_MACC sheet 가장 직접 학술 source**. $1T 누적·$3.2B/yr above BAU 2025-2050 글로벌 수치를 Korean petchem 7사 점유율(글로벌 ethylene capacity ~5% Korea 가정)으로 분배하면 한국 petchem decarb required CAPEX = ~$50B 누적 / ~$160M/yr 추가. 이는 LG Chem Daesan HVO(#5 prev) $1.5B + Yeosu 1 통합($600M est) 등 CAP Tech_Portfolio_Split entries의 총합 $5-7B와 정량 비교 가능 — Korean petchem 'announced abatement-CAPEX'가 ACS scenario 적합 수준의 ~10-15%에 머물고 있다는 Gap 1 정량화. NA/EU 2050 vs China/ME 2060 timeline 분류상 Korea/Japan은 NA/EU 그룹으로 batch되어 2050 deep-decarb 의무 — 95조 KRW 91.4 TWh/yr 전기화(#15 Day 4 entry) 수치도 본 scenario와 적합성 검증 가능. (4) **CARBON PRICING ELASTICITY CALIBRATION — García 2026 BSE(#113) + arXiv umbrella review 2025-12(#114) 결합**. EU carbon price → green innovation positive elasticity (García) + 글로벌 carbon pricing 평균 -10.4% emission effect (umbrella review)를 K-ETS Phase 4 KRW 20,000 (govt projection) 시점에 적용하면 한국 steel/petchem expected emission elasticity 추정 가능. 단, **K-ETS는 ETS이고 carbon tax보다 effect 작다는 umbrella review 직접 결과** + Korean 100% free allocation 으로 effective elasticity는 EU 평균보다 substantially 낮을 것으로 예상 → CAP Gap 3 정량화 강화. CAP Korean carbon-pricing breakeven analysis에 본 두 elasticity를 lower/upper bound로 활용 가능. (5) **JAPAN INCUMBENT BF-BOF UNFAIR-INCENTIVE 학술 정당화 — BNEF 2025-12 Tokyo Steel 보고서(#115)가 CAP Japanese steel critique에 NGO/IGO/INDUSTRY 3-side 학술 backbone 추가**. SteelWatch 2026 Scorecard(#97 Nippon 16.8) NGO scoring + InfluenceMap KOSA 2022 + IEA(#19) IGO sectoral roadmap에 BNEF/Tokyo Steel(#115) industry-internal critique를 추가하면 4-source convergent evidence — Japanese steel decarbonization incentive design은 incumbent BF-BOF에 favor, BF reline timing(Yawata FY2028, Kimitsu COURSE50 2026 demo→2030 full→2040 commercial)에 따라 Gap 5 stranded-asset 위험. CAP 분석 권장 frame: 'Japan policy favors BF-BOF + COURSE50 2040 commercial timing → 본 paper publication 시점 2027 H1 기준으로 Japan 2 BF reline window가 CAP framework 적용의 가장 시의성 높은 case'. (6) **KARPLUS HDRI OPEN-SOURCE FRAMEWORK CALIBRATION 가능성 검증 — Karplus 2026 Env Sci Tech(#99 already in DB) HDRI Python 모델 + Liu/Glynn 2026 Energy Policy(#111 신규)가 결합되어 CAP MACC layer의 학술 calibration code base 가시화**. Karplus는 HDRI-EAF 기술 cost-driver(electrolyzer efficiency 1순위, grid emission factor 2순위) 식별 + open-source code 공개 = CAP Tech_Portfolio_Split의 Implied_MACC_USD_per_tCO2 columns을 (a) Karplus 2026 model로 POSCO HyREX/HPLS/Nippon Yawata EAF/Hirohata 110t H2 furnace 6개 자산에 calibrate, (b) Liu/Glynn 2026 grid emission factor 시나리오로 Louisiana(415g/kWh) vs Korea(595g/kWh) vs Japan(437g/kWh) 비교 → CAP 학술 reproducibility 강화. CAP code repo에 Karplus model fork + CAP 한·일 자산 input file 추가 작업이 Week 5-6 우선순위.</t>
        </is>
      </c>
      <c r="F18" t="inlineStr">
        <is>
          <t>1) Day 3 (Wed 2026-05-06) MACC: (a) Manych et al. 2026 Nat Comms(#110) bottom-up plant-level method를 CAP Korean/Japanese 12사에 적용해 회사별 'projected 2030 emissions vs NZE pathway gap' 컬럼 신설 (Implied_2030_Gap_pct); (b) ACS 2026 chemicals scenario(#112) 글로벌 $1T cumulative + $3.2B/yr를 Korean petchem 7사 점유율 기반 분배 → '회사별 ACS-implied required abatement CAPEX 2025-2050' 컬럼 신설; (c) 본 두 컬럼을 CAP Tech_Portfolio_Split announced CAPEX와 비교한 'CAPEX gap pct' 산출. 2) Day 3: POSCO-JSW Odisha India BF JV row 추가 to Tech_Portfolio_Split — equity TBD(50:50 JV 6Mtpa, ops 2031); CPI India + Berkeley IECC(#116) 인용. Cross-jurisdictional CAPEX reallocation 4-case 시각화 dashboard panel candidate. 3) Day 4 (Thu 5/7) Carbon Pricing: García 2026 BSE(#113) elasticity + arXiv umbrella review(#114) -10.4% combined effect를 K-ETS Phase 4 KRW 20,000 시점 적용한 'Korean steel/petchem expected emission elasticity' 추정; lower bound = umbrella review × 한국 100% free allocation discount factor; upper bound = García EU empirical full effect. CBAM Q1 €75.36(#118) anchor 활용한 회사별 EU export NPV 계산 (POSCO/Hyundai/Nippon/JFE). 4) Day 5 (Fri 5/8) Brainstorm: 새 섹션 'CAP motivation citation set: Manych 2026 + Dietz-Hastreiter 2026 + Glück 2026' (3-step intro) + 'Cross-jurisdictional CAPEX as Gap 5 extension: POSCO 4-case framework' (Pohang HyREX × Odisha BF × HPLS × Hyundai Dangjin) + 'Japanese policy asymmetry: BNEF Tokyo Steel critique(#115) as industry-internal validation of CAP Gap 1·4'. 5) Day 6 (Sat 5/9) Collaborator: (a) Manych et al. 2026 저자 그룹(Vorisek/Held/Tian/Bauer) UCL Wu/Meng/Liang(#78) 그룹과 method-호환 — joint reviewer outreach map 작성; (b) Liu/Glynn 2026 Energy Policy(#111) 통해 Glynn(Columbia CGEP) collaborator network 추가 — Caldecott Oxford SSEE / UCL Bartlett / Columbia CGEP 3-cluster academic outreach 구성; (c) Glück et al. 2026(#109) 저자 affiliation 확인 후 Daumas 2024(#88)와 cluster 매핑. 6) Day 7 (Sun 5/10) Dashboard: (a) Cross-jurisdictional CAPEX reallocation 2D 매트릭스 panel 신규 (POSCO 4-case + Hyundai 2-case + Japan tri-party 1-case 시각화); (b) ACS 2026 chemicals scenario implied vs announced CAPEX gap bar chart (Korean petchem 7사). 7) Karplus HDRI(#99) open-source repo fork → CAP code repo에 Korean/Japanese 6 assets calibration run 작업 (Week 5-6 우선순위, dedicated code session 필요). 8) LSE Grantham 5/14 'Investable transition opportunities' 행사 등록 + CAP 1-pager 준비 (Day 6 cycle).</t>
        </is>
      </c>
      <c r="G18" t="inlineStr">
        <is>
          <t>Completed</t>
        </is>
      </c>
    </row>
    <row r="19">
      <c r="A19" t="inlineStr">
        <is>
          <t>Week 5 (Day 4)</t>
        </is>
      </c>
      <c r="B19" t="inlineStr">
        <is>
          <t>2026-05-07</t>
        </is>
      </c>
      <c r="C19" t="inlineStr">
        <is>
          <t>Day 4 Carbon Pricing &amp; Policy Update (Thu 2026-05-07). KOREA: (1) K-ETS KAU25 ~KRW 17,000 ($11.5-11.8) — no fresh OPIS print since KRW 16,700 ($11.35) on 2026-04-26, but SK Markets monthly auction cleared above KRW 17,000 in late Apr indicating spot drift higher; MSR live + coal-cap-lift effects continue. Phase 4 (2026-2030) cap 2.537 Gt (-17.9% vs Phase 3) confirmed; POSCO + Hyundai Steel both expected SHORT free allowances despite 100% allocation (KOSA / ICAP 2026-05). (2) Korea NCC electrification policy 2026-04-06 Cabinet — Min. Kim Seong-Hwan reported 'National Sovereignty Government Energy Transition Promotion Plan'; petchem to 'shift to high value-added industry through introduction of electric NCCs'; LG Chem leading R&amp;D since 2023 (national project). JAPAN: (3) GX-ETS mandatory phase live since 2026-04-01 — ~5 weeks of trading; price corridor confirmed at ¥1,700-4,300/tCO2 ($11.0-27.7); annual escalator inflation+3%. METI 2026-04 = 4.5 trillion JPY GX debt guarantees from FY2026; CEV subsidy 50,000 JPY ($330) for low-emission steel use. EU: (4) EUA spot €75.97 close 2026-05-06 (TradingEconomics) — +6.24% MoM, +6.91% YoY. Enerdata 2026 avg forecast €85, 2027 €100. Phase 4 supply -8% in 2026 vs 2025. EU 2026 benchmark update for sintered ore + hot metal + H2 → DRI/green H2 newly eligible for free allocation (was full ETS cost pre-2026). Iron+steel direct EUA cost forecast €0.7B (2025) → €16.4B (2035). EC stopped MSR invalidation above 400M allowances 2026-04-01 = kept as buffer. Next TNAC publication 2026-05-29. CBAM: (5) Q1 2026 official certificate price €75.36/t (EC 2026-04-07); Q2 release scheduled 2026-07-06; phase-in factor 2.5% in 2026 → effective ~€1.88/t imported HRC at default; markup +10% (2026), +20% (2027), +30% (2028) on default values to incentivize actual-data filing. FILES UPDATED: Carbon_Price_Scenarios sheet — refreshed K-ETS, GX-ETS, EU-ETS, CBAM, Phase 4 rows + added new 'Week 5 Day 4 Update Snapshot' row. Other CAP files unchanged this cycle.</t>
        </is>
      </c>
      <c r="D19" t="inlineStr">
        <is>
          <t>No new academic literature this entry (Day 4 = carbon pricing focus). Confirmatory sources tagged: TradingEconomics 2026-05-06 (EUA spot); MarketScreener/OPIS 2026-04-26 (KAU25 last firm); Carbon Pulse 2026-04 (Japan ¥1,700-4,300 corridor); EC Climate Action 2026-05-04 (TNAC publication notice); EC press 2026-04-01 (MSR invalidation halt); ICAP 2026-04 (CBAM compliance phase); ForOurClimate / KCEM 2026-04-06 (Korea NCC electrification cabinet plan); MSCI / METI 2026 (GX-ETS structure); ScienceOpen IEEJ 2025-05 (Japan carbon-pricing chairman message). Confirms previously-logged KAU25 trajectory (+75% vs 6 weeks ago at 2026-04-26 print). No need to add to Lit_References this cycle — all material is policy/market data, already cited in Notes.</t>
        </is>
      </c>
      <c r="E19" t="inlineStr">
        <is>
          <t>여섯 high-salience CAP findings from Week 5 Day 4 carbon pricing pass: (1) **JP-KR CARBON PRICE FLOOR CONVERGENCE** — GX-ETS binding floor ¥1,700 ($11.0) in May 2026 ≈ K-ETS spot $11.5 — FIRST TIME the two systems are at COMPARABLE binding levels; CAP MACC implication: 일본 BF-EAF switch가 K-ETS보다 ETS 가격으로 'pull'되기 시작하는 첫 분기. JFE EAF MACC ($0.3-3/tCO2)는 GX 플로어 $11과 K-ETS 스팟 $11.5에서 모두 이미 absolutely viable이지만, Korean POSCO/Hyundai Steel은 100% 무상할당으로 가격 시그널이 차단됨 → CAP Gap 3 강화. (2) **GX-ETS 천장 $27.7가 BF-CCS 임계점에 매우 근접** — Manych 2026 / Wang 2025 estimates suggest BF-CCS LCOA $30-50/tCO2; GX 천장 ¥4,300 ($27.7)가 'ceiling'이지만 동시에 정책 시그널로서 $30 임계의 88-92%까지 도달 가능 → Nippon/JFE/Kobe의 BF-CCS retrofit 결정에 ETS 가격이 처음으로 marginal하게 영향을 줄 수 있는 구간. POSCO HyREX ($100-130/tCO2)와 비교하면 GX 천장도 여전히 25% 수준이지만 K-ETS 스팟 9% vs GX 천장 25% = 일본의 carbon-price-to-MACC ratio가 이미 한국의 2.7배. (3) **EU 2026 BENCHMARK UPDATE = H2-DRI 'GREEN PREMIUM' 정책으로 정책 보조** — DRI/green H2가 2026부터 sintered ore/hot metal/H2 벤치마크에 포함되어 free allocation 대상이 됨. CAP MACC implication: EU H2-DRI MACC $95-150/tCO2 (Vogl/Sandbag 2024)가 free allocation 보조로 effective MACC가 $30-80 수준으로 떨어짐 — POSCO HyREX와 동일 기술이 EU에서는 정책 보조로 viable, 한국에서는 무지원 → CAP Gap 5 (jurisdictional CAPEX reallocation) empirical evidence 강화. Hyundai Steel Louisiana EAF + Air Liquide 가스 lock-in (Week 4 Day 1 finding)이 이 prism으로 보면 'EU benchmark 보조 받기 위한 우회 진입'으로 reframe 가능. (4) **CBAM 마크업 +10/+20/+30% 단계적 도입 = Korean/JP exporter actual-data filing pressure** — 2026 default value 에 +10%, 2027 +20%, 2028 +30% — Korean HRC reported emissions ~2.0-2.3 tCO2/t vs default 2.6-3.5 (TR/CN/RS 그룹) → default 적용 시 +35-50% 비용 가산. CAP Gap 4 (sector-level benchmark이 기술별 격차 무시) implication: CBAM은 importer-level data를 incentivize하지만 K-ETS는 sector benchmark만 사용 = Korean steel은 두 시스템 사이에 낀 데이터-비대칭 상황. (5) **K-ETS Phase 4 무상할당 100% 유지에도 POSCO/Hyundai Steel SHORT** — Phase 4 cap -17.9% (2.537 Gt) 발표로 free allocation 100% 유지에도 두 회사 모두 부족 예상 (KOSA / ICAP 2026). 즉 free allocation rate가 정책상 100%여도 감산 cap 자체가 기준연도 대비 너무 빡빡해서 effective 무상할당률이 단계적으로 90% → 70% 수준으로 떨어지는 implicit tightening. CAP MACC implication: implied carbon cost가 sticker-price K-ETS $11보다 effective $5-15 더 비싼 'shadow price' 구조 → Carbon_Price_Scenarios K-ETS Effective 항목 신설 필요 (다음 Day 3에). (6) **EU-ETS €76 vs K-ETS $11.5 = 7.3x 격차 - 4월 30일 $11.35 대비 5월 6일 $11.5 = 격차가 '닫히지 않음'** — K-ETS 4월 surge (KAU25 +75% vs 6주 전)에도 EU-ETS €68→€76 동반 상승으로 절대격차는 오히려 €60→€64 확대. CAP에서 'Korea/Japan ETS 가격이 EU 따라잡는 시점'을 carbon-price-gap-closure scenario로 정의해온 가정의 stress test — 현재 trajectory로는 2030 K-ETS Phase 4 mid-point ($14-15) 도달해도 EU는 €100/t ($110)으로 격차 7x 유지 → Korean steel/petchem이 K-ETS 의 carbon-price 신호로는 EU와 같은 기술 선택을 하지 않을 것이라는 CAP 핵심 가설 강화.</t>
        </is>
      </c>
      <c r="F19" t="inlineStr">
        <is>
          <t>1) Day 5 (Fri 2026-05-08) Brainstorm Synthesis: append Day 4 carbon-pricing block to CAP_Brainstorm_Notes.docx with explicit LCOA depreciation framework — 'effective K-ETS shadow price' under cap-tightening should reduce denominator in LCOA = makes Korean BF-EAF switch look more economic in CAP MACC. 2) Day 6 (Sat 2026-05-09): track new IEEJ chairman May 2025 message on Japan carbon pricing in literature pass; look for Manych 2026 Nat Comms updated supplementary if MACC for Korean/JP plant-level published; monitor Carbon Pulse for first GX-ETS spot price prints (likely mid-May). 3) Day 7 (Sun 2026-05-10): update CAP_MACC_Dashboard.html with (a) refreshed Carbon_Price_Scenarios table, (b) new 'JP-KR price floor convergence' panel showing GX floor vs K-ETS spot vs MACC band for each company, (c) CBAM markup phase-in chart 10/20/30%. 4) Next Day 3 (Wed 2026-05-13): add 'K-ETS Effective Shadow Price' column to Carbon_Price_Scenarios capturing Phase 4 implicit tightening (free allocation 100% on paper but cap -17.9% so effective 70-90% in practice for POSCO/Hyundai Steel); recompute breakeven across CompanyTechMapping. 5) Next Day 4 (Thu 2026-05-14): Q2 2026 CBAM official price publishes 2026-07-06 — set calendar marker; TNAC publication 2026-05-29 also calendar marker. Both will update Carbon_Price_Scenarios row 4 + row 7.</t>
        </is>
      </c>
      <c r="G19" t="inlineStr">
        <is>
          <t>Completed</t>
        </is>
      </c>
    </row>
    <row r="20">
      <c r="A20" t="inlineStr">
        <is>
          <t>Week 5 (Day 5)</t>
        </is>
      </c>
      <c r="B20" t="inlineStr">
        <is>
          <t>2026-05-08</t>
        </is>
      </c>
      <c r="C20" t="inlineStr">
        <is>
          <t>No new company data this entry (Day 5 = Brainstorming Synthesis focus). Carry forward Week 5 Day 1 (POSCO-JSW India 6Mtpa BF JV; POSCO Q1 2026 KRW 17.9T) and Day 4 carbon-pricing snapshot (K-ETS spot ~$11.5; GX-ETS corridor binding $11-27.7; EUA €75.97; CBAM Q1 €75.36 + markup phase-in; METI 4.5조엔 GX guarantee).</t>
        </is>
      </c>
      <c r="D20" t="inlineStr">
        <is>
          <t>No new references added (Day 5 = synthesis focus). Re-anchored 4 cluster papers used in LCOA v0.2 derivation: #82 Columbia CGEP LCCA + Wang et al. 2025 Nature ($-8.5/$0.3/$7-15/$26-75 anchors) + Vogl et al. 2021 Joule (depreciated BF-BOF reference) + Manych et al. 2026 Nat Comms (#110, plant-level methodology) + Glück 2026 ScienceDirect (#109).</t>
        </is>
      </c>
      <c r="E20" t="inlineStr">
        <is>
          <t>여섯 high-salience CAP findings from Week 5 Day 5 brainstorming synthesis: (1) **LCOA v0.2 FORMALIZED** — 6항 full-form equation: LCOA = [CAPEX×CRF + ΔOPEX − ΔRev_coprod − Subsidy×CRF + Stranded − ETS_eff] / ΔEmissions. Vintage-adjusted CRF + jurisdictional subsidy net-out + stranded-asset wedge가 새로 명시됨. (2) **EFFECTIVE ETS SHADOW PRICE FORMULA** — ETS_eff = (1 − α^marginal) × P_ETS_sticker. K-ETS Phase 4 POSCO marginal α ≈ 80-90% → effective $1.15-2.30/tCO2 (sticker $11.5). EU-ETS marginal α ≈ 60-70% → effective $25-34/tCO2 — K-ETS의 17배. (3) **POSCO 3-WAY WORKED EXAMPLE** — α (Replace BF#4 in 2026 mid-campaign): LCOA $105/tCO2 (stranded wedge $12.1 included); β (Replace at next reline 2044, natural alignment): $95/tCO2; γ (Replace earlier-relined Gwangyang BF#3): $98/tCO2. (4) **POSCO α vs JFE KURASHIKI WEDGE DECOMPOSED** — 3.4배 격차 ($105 vs $31): WACC 차 ($34) + stranded wedge ($26) + tech selection ($14). 격차의 절반은 jurisdictional financing support origin이지 회사 결정의 결과 아님 — TPI/CA100+/SBTi의 결정적 fairness 결함. (5) **K-ETS POLICY WEDGE QUANTIFIED** — POSCO HyREX FID 결정에 대한 K-ETS 영향 = 0% (free allocation 100% 유지 시). EU-style full auction 적용 시 wedge $80/tCO2 → LCOA $107 → $23/tCO2 swing. (6) **5 GAPS RE-EVIDENCED** — Gap 1 (CAPEX cost-eff): same-firm BF vintage swing ±$15. Gap 2 (MACC integration): EE -$8.5 → BF-CCS $30-50 → HyREX $107 gradient. Gap 3 (carbon pricing): K-ETS effective wedge formula 도출. Gap 4 (sector benchmark): EU H2-DRI free allocation = same tech 다른 jurisdiction $23 vs $105. Gap 5 (timing): vintage-wedge formalization + POSCO-JSW India overseas BF lock-in 새 차원.</t>
        </is>
      </c>
      <c r="F20" t="inlineStr">
        <is>
          <t>1) Day 6 (Sat 5/9): Carbon Pulse/IEEJ/METI에서 첫 GX-ETS spot print monitor + Manych 2026 #110 supplementary deep-read (POSCO/Nippon/JFE plant-level baseline emissions 검증). 2) Day 7 (Sun 5/10): CAP_MACC_Dashboard.html에 (a) LCOA-with-depreciation 3-scenario panel, (b) effective shadow price wedge K-ETS/GX-ETS/EU-ETS 비교, (c) POSCO α/β/γ + JFE Kurashiki 4-way 워터폴 차트 추가. 3) Week 6 Day 1 (Mon 5/11): DART filings — POSCO 2024 BF#4 $381.7M modernization 회계 분개 (BF 본체 vs 부속) 분리; Hyundai Steel Q2 2026 preview; petchem 1Q26 IR. 4) Week 6 Day 2 (Tue 5/12): Stranded asset valuation methodology lit cluster (Caldecott/Manych/Glück) deep-read → draft methodology paper §2 'Methodological Background' 초안화. 5) Week 6 Day 3 (Wed 5/13): Tech_Portfolio_Split + Carbon_Price_Scenarios에 Effective_LCOA_2026 / Effective_LCOA_at_Reline_Window / Effective_Shadow_Price wedge column 추가; ICAP K-ETS Phase 4 marginal allocation rate 직접 estimation. 6) Week 6 Day 5 (Fri 5/15): Paper draft v0.1 §2 'Methodology' 8-10페이지 초안 시작 (LCOA v0.2 + LSE Grantham 5/14 행사 #107 after-discussion 반영).</t>
        </is>
      </c>
      <c r="G20" t="inlineStr">
        <is>
          <t>Completed</t>
        </is>
      </c>
    </row>
    <row r="21" ht="409.6" customHeight="1">
      <c r="A21" s="5" t="inlineStr">
        <is>
          <t>Week 5 (Day 6)</t>
        </is>
      </c>
      <c r="B21" s="5" t="inlineStr">
        <is>
          <t>2026-05-09</t>
        </is>
      </c>
      <c r="C21" s="5" t="inlineStr">
        <is>
          <t>No new company data this entry (Day 6 = Collaborator &amp; Publication Tracking). Carry forward Week 5 Day 1 (POSCO-JSW India 6Mtpa BF JV; POSCO Q1 2026 KRW 17.9T rev/KRW 707B OP) + Day 4 carbon-pricing snapshot (K-ETS spot ~$11.5; GX-ETS ¥1,700/$11.0 binding floor) + Day 5 LCOA v0.2 6-term equation (CAPEX×CRF + ΔOPEX − ΔRev_coprod − Subsidy×CRF + Stranded − ETS_effective). New collaborator-derived data flag: Whyalla(South Australia) sale 2026 진행 중, BlueScope+POSCO+Nippon Steel+JSW Steel 컨소시엄 가장 유력 인수자(IEEFA Cribb Jan 2026, #120) — POSCO/Nippon offshore 동시-해외 BF→DRI-EAF transition 자본배분 datapoint 추가 (Tech_Portfolio_Split 후속 entry candidate).</t>
        </is>
      </c>
      <c r="D21" s="5" t="inlineStr">
        <is>
          <t>10 new references added (#119-#128, total now 128). 핵심 신규: (A) **TPI Centre Mar 2026 Release Calendar PDF (#119)** — short-term CP alignment year 2028→2030 shift + chemicals 24사 추가 official timeline; CAP의 LCOA 평가창과 정렬, Korean petchem 7사의 TPI chemicals universe 편입 여부 명단 확인 필요. (B) **IEEFA Cribb Jan 2026 (#120)** — 2026 steel tech transition 모멘텀 회복 + POSCO·Nippon Whyalla 컨소시엄 직접 mention; SteelWatch Scorecard 2026(#97) "transition readiness gap" 진단과 일견 모순 — CAP가 commitment vs revealed CAPEX frame으로 reconcile. (C) **He-Jenkins 2026 EES (#121)** — Princeton ZERO Lab cement-methanol industrial symbiosis 2035 LCOA $41-53/t (단독 $75-120 대비 30-65% reduction); Korean petchem 클러스터(Yeosu/Daesan/Ulsan) standalone vs cluster LCOA 2-track 비교 직접 적용 가능; Jenkins collaborator outreach 1순위. (D) **CMU Karplus-Pistorius decarbSTEEL framework (#122) + Karplus-Xiao-Muller-Pistorius Jan 2026 paper (#123)** — open-source steel MACC framework + cross-jurisdictional method; CAP Steel_MACC validation 1순위 + Princeton/Oxford/Columbia와 별도 CMU EPP cluster collaborator 다변화. (E) **Wagner Jan 2026 "Economic Damages of Delayed Climate Action" (#124)** — macro-level delay cost = CAP Gap 5 자산 stranded의 macro counterpart; LG Chem capacity cut을 "delay cost를 CAPEX 회피로 대체"로 재해석. (F) **Climate Bonds Initiative Apr 2026 Vietnam guide + China steel $18B (#125)** — Asia 4국(Korea/Japan/China/Vietnam) transition finance regime 격차 frame; POSCO-JSW India + Whyalla와 결합한 cross-jurisdictional CAPEX reallocation. (G) **Oxford Sustainable Finance Group 2026 (#126)** — Phase 2 Santander asset-level transition plan credibility deep-dive 4개 중 (b)+(c)가 정확히 CAP 영역; Caldecott·Hepburn engagement channel. (H) **CEPR CCES 2026 Gerzensee Jun 20-24 (#127)** — Dietz·Wagner·Karplus 동시 참석 conference, CAP working paper submission 1순위 venue. (I) **Industrial decarb Europe conference set (#128)** — Cleantech 2026-05-19 Brussels + Decarb Connect + Industrial Net Zero Nov 25-26.</t>
        </is>
      </c>
      <c r="E21" s="5" t="inlineStr">
        <is>
          <t>여섯 high-salience CAP findings from Week 5 Day 6 collaborator-tracking: (1) **TPI 2030 SHORT-TERM ALIGNMENT YEAR = CAP LCOA NEAR-TERM 평가창 정렬** — TPI Centre가 2026 cycle부터 short-term CP alignment year를 2028→2030으로 shift(#119). 2030이 정확히 CAP LCOA evaluation의 near-term 평가창 — Korean/Japanese steel 12사의 TPI 2030 alignment score를 CAP LCOA $/tCO2 layer와 직접 결합하면 "TPI 정렬도 (분자) ÷ CAP CAPEX 효율 (분모)" 2D ratio로 외부 framework에 직접 보완 positioning 가능. Petchem 7사는 TPI 신규 chemicals 24사 universe 편입 여부가 CAP-TPI 결합 가능성의 결정변수. (2) **POSCO 3-WAY OFFSHORE PARALLEL TRACK 완성** — IEEFA Cribb Jan 2026(#120)이 POSCO Whyalla(호주, frontier DRI-EAF) 컨소시엄 진입을 명시하면서 POSCO의 cross-jurisdictional CAPEX bet 구조가 (i) 호주 DRI-EAF (frontier) (ii) 인도 BF (lock-in, #116) (iii) 미국 EAF (intermediate, Hyundai-POSCO Louisiana) 3-way로 확장. CAP working paper "parallel-track 자본배분" 분석에서 동일 회사가 호주/인도/미국에서 3개 다른 기술·timing·jurisdictional carbon-policy regime에 동시 bet하는 구조를 정량화 — CAP Gap 5 flagship 사례 강화. (3) **PRINCETON ZERO LAB CEMENT-METHANOL CO-PRODUCTION = KOREAN PETCHEM 클러스터 직접 적용 anchor** — He-Jenkins 2026 EES(#121)의 industrial symbiosis 모델은 Korean petchem 3대 클러스터(LG Chem Yeosu+Hyundai Cement / Lotte Daesan+S-Oil refinery / SK Geocentric Ulsan+SK Energy)에 즉시 적용 가능; standalone CCUS LCOA $75 → cluster co-production $41-53/t (35-45% reduction). CAP Petchem MACC 시트에 "Cluster Industrial Symbiosis" 신규 row 추가 후 standalone vs cluster 2-track LCOA 비교 columns 신설 권장 — Day 7 dashboard update 동시 반영. Jenkins collaborator outreach 1순위. (4) **CMU EPP CLUSTER 신규 collaborator route 발견** — Karplus-Pistorius decarbSTEEL framework(#122) + Karplus-Xiao-Muller-Pistorius Jan 2026 paper(#123)가 Princeton(Jenkins) / Oxford(Caldecott·Hepburn) / Columbia(Wagner·Glynn)와는 별도 cluster — CAP collaborator 다변화 1순위. decarbSTEEL Excel framework이 GitHub 공개 시 CAP가 Korean/Japanese 12사 입력을 fork+PR contribute → open-source visibility 확보 channel. (5) **WAGNER DELAY COST = CAP GAP 5의 MACRO COUNTERPART** — Wagner Jan 2026 working paper(#124)가 macro-level delay cost 정량화 → CAP의 회사별 BF reline 지연 + LG Chem Yeosu NCC capacity cut을 동일 mechanism의 micro-level counterpart로 reframing. CAP working paper "why timing matters" section에서 Wagner + Daumas 2024(#88) + Glück 2026(#109) 3-paper macro-meso-micro stranded-asset stack으로 인용 권장. (6) **CONFERENCE STRATEGIC CALENDAR 2026 H2 SET** — CAP 본격 외부 노출 4-event windows 확정: (i) **2026-05-19 Brussels Cleantech Conference** (#128, 즉각, EU Innovation Fund) — CAP working paper draft submit 가능 마지막 timing; (ii) **2026-06-20~24 CEPR CCES Gerzensee** (#127) — Dietz·Wagner·Karplus 동시 참석, climate finance track CAP positioning fit 1순위; (iii) **2026-09 (예상) Oxford Sustainable Finance Summit** (#126) — Caldecott·Hepburn 직접 engagement channel; (iv) **2026-11-25~26 Industrial Net Zero Europe Berlin** (#128) — EU CBAM 직접 영향 sector engagement. UNFCCC CW3 Yeosu(2026-04 종료, #106) + LSE Grantham 2026-05-14(#107) 후속.</t>
        </is>
      </c>
      <c r="F21" s="5" t="inlineStr">
        <is>
          <t>1) Day 7 (내일 일요일 2026-05-10) Dashboard: CAP_MACC_Dashboard.html에 (a) **TPI 2030 alignment year shift + chemicals 24사 추가 timeline 모듈** (Q1-Q4 2026 publication calendar 시각화); (b) **Petchem MACC 시트의 "Cluster Industrial Symbiosis" 신규 row** + Yeosu/Daesan/Ulsan standalone($75) vs cluster($41-53/t) 비교 막대 chart; (c) **POSCO 3-way offshore parallel-track 지도** (호주 Whyalla DRI-EAF / 인도 Odisha BF / 미국 Louisiana EAF + Korean domestic HyREX 4-pin map); (d) **2026 H2 CAP conference timeline gantt** (Cleantech 5/19 → CCES 6/20-24 → Oxford Sep → Industrial Net Zero 11/25-26). 2) Week 6 Day 1 (2026-05-11 Mon) Data: TPI 신규 chemicals 24사 universe 명단 PDF 추적해 LG Chem/Lotte/SK Geocentric/Hanwha/Mitsubishi Chem/Mitsui Chem/Asahi Kasei 7사 중 몇 개 포함되는지 확인 → 포함시 CAP-TPI 결합 priority 상향, 미포함시 CAP가 TPI 미커버 anchor positioning. 3) Week 6 Day 2 (2026-05-12 Tue) Lit: Karplus-Xiao-Muller-Pistorius Jan 2026 paper(#123) 정확한 title/저널/DOI 보강(현재 #123은 placeholder); Wagner 2026-06-25 Toronto TMEC "climate shift uncertainty" working paper draft 추적 추가; Princeton ZERO Lab(He-Jenkins #121) supplementary materials deep-read해 cement-methanol cost-learning curve parameter을 Korean petchem cluster에 transfer. 4) Week 6 Day 3 (2026-05-13 Wed) MACC: (a) Petchem_MACC 시트에 "Cluster Industrial Symbiosis (He-Jenkins 2026)" row 추가 — Yeosu/Daesan/Ulsan 3-cluster instance 각각 standalone vs symbiotic LCOA 산정; (b) Tech_Portfolio_Split에 POSCO Whyalla 컨소시엄 entry 추가(BlueScope+POSCO+Nippon+JSW, AU$1.9B BF→DRI-EAF, ops 2028 추정); (c) decarbSTEEL framework 다운로드 시도 → Korean/Japanese 12사 입력 cross-validation. 5) Week 6 Day 4 (2026-05-14 Thu) Carbon Pricing: 2026-05-14 18:30 BST LSE Grantham TPI event(#107) 사후 자료 즉시 추적; CCES 2026 Gerzensee submission deadline + 2026 Cleantech Conference Brussels presenter 신청 일정 동시 확인. 6) Week 6 Day 5 (2026-05-15 Fri) Brainstorm: LCOA v0.3 — He-Jenkins industrial symbiosis term을 LCOA 6-term 식에 7번째 term으로 추가(−Synergy_cluster 항); cross-jurisdictional Asia 4국(KR/JP/CN/VN) transition finance regime matrix를 brainstorming notes에 시각화 schema로 정리.</t>
        </is>
      </c>
      <c r="G21" s="5" t="inlineStr">
        <is>
          <t>Completed (Day 6 Collaborator/Publication Tracking)</t>
        </is>
      </c>
    </row>
    <row r="22">
      <c r="A22" t="inlineStr">
        <is>
          <t>Week 5 (Day 7)</t>
        </is>
      </c>
      <c r="B22" t="inlineStr">
        <is>
          <t>2026-05-10</t>
        </is>
      </c>
      <c r="C22" t="inlineStr">
        <is>
          <t>Day 7 Dashboard &amp; Visualization Update (Sun 2026-05-10). CAP_MACC_Dashboard.html v2 build: (a) Section 0 'What changed' diff banner with the three Apr 2026 CAPEX corrections (Hyundai $6B→$1.1B; Nippon $2.2B→$6.0B; Kobe $2.09B→$1.05B) made visible; (b) Section 1 Steel MACC chart refreshed — added Biomass/biochar ($30) and SR-BOF+CCS ($63) rows from Steel_MACC, vertical reference lines now show K-ETS $11.5 / GX-ETS mid $19 / EU-ETS $83.6 (was $7/$20/$75); (c) Section 2 Radar updated — POSCO CAPEX_Scale 90→100, Hyundai Steel reweighted to reflect $1.1B domestic only, Nippon Steel CAPEX_Scale 70→95 to reflect $6.0B; (d) Section 3 Carbon Price matrix columns now $11.5 K-ETS / $11.0 GX-ETS floor / $27.7 GX-ETS ceiling / $50 / $83.6 EU-ETS / $125 Paris-aligned / $200 NZ; (e) Section 4 NEW: Steel Green CAPEX comparison + capacity-cost-efficiency ($M/Mtpa) bar charts derived from Tech_Portfolio_Split (POSCO HyREX $4,750 vs JFE Kurashiki $1,100 spread); (f) Section 5 NEW: Petchem MACC + Cluster Industrial Symbiosis (He-Jenkins 2026 EES, ref #121) — Yeosu $75→$45, Daesan $75→$53, Ulsan $75→$41 stacked bars; (g) Section 6 NEW: POSCO 4-pin cross-jurisdictional capital-allocation map (Pohang HyREX domestic ① / Louisiana EAF ② / Odisha BF lock-in ③ / Whyalla DRI-EAF frontier ④); (h) Section 7 NEW: TPI 2026 Q1-Q4 publication calendar with chemicals +24 firms (Q2) and short-term CP alignment year 2028→2030 shift (Q3) highlighted; (i) Section 8 NEW: 2026 H2 conference Gantt (LSE TPI 5/14, Cleantech Brussels 5/19, CEPR CCES Gerzensee 6/20-24, Oxford SF Sep, Industrial Net Zero Berlin 11/25-26). Backup of pre-2026-05-10 build saved as CAP_MACC_Dashboard_pre2026-05-10.html.bak. + NEW MODULE: created CAP_Methodology_Showcase.html (Week 1 Cycle 1 · Case 1 of 12 = POSCO). Worked example: POSCO HyREX commercial Ph.1 LCOA v0.2 = $255-311/tCO2 (range from H2 $1.70-4/kg) vs published headline MACC $100-130/tCO2 = 2.2-2.7x premium. JFE Kurashiki LCOA contrast = $68/tCO2 → POSCO/JFE LCOA spread 3.7-4.6x (vs 4.3x at $/Mtpa CAPEX-only level). 4-framework benchmark table built (TPI MQ 4★/CP Below-2°C; CA100+ Mixed; SBTi Below-pathway -10% vs SDA -25%; CAP Misaligned). Page contains self-documenting rotation block — Day 7 of each future week reads current_index, rebuilds the file with next company, saves prior build as W{N}_{Company}.html.bak. Week 2 (2026-05-17) = Hyundai Steel.</t>
        </is>
      </c>
      <c r="D22" t="inlineStr">
        <is>
          <t>No new academic literature this entry (Day 7 = dashboard focus). Cross-referenced existing #119 (TPI Centre Mar 2026 release calendar) for Section 7 Q1-Q4 quarterly module, #120 (IEEFA Cribb Jan 2026) for Section 6 Whyalla pin, #121 (He-Jenkins 2026 EES) for Section 5 cluster-symbiosis overlay numbers ($45 Yeosu / $53 Daesan / $41 Ulsan), #122-#123 (CMU Karplus-Pistorius decarbSTEEL framework) flagged as Week 6 Day 3 cross-validation target, and #127-#128 (CCES Gerzensee + Cleantech/Industrial Net Zero Berlin) for Section 8 Gantt anchors.</t>
        </is>
      </c>
      <c r="E22" t="inlineStr">
        <is>
          <t>다섯 high-salience CAP findings from Week 5 Day 7 dashboard refresh: (1) **CAPEX corrections shift the Korea-Japan steel reform balance** — once Hyundai Louisiana ($5.8B) is excluded as a separate US asset, Korean domestic steel-decarb CAPEX ≈ $14.4B (POSCO 13.3 + Hyundai 1.1) vs Japanese $9.3B (Nippon 6.0 + JFE 2.26 + Kobe 1.05). Korea 'spends more' but &gt;90% of that is concentrated in a single firm (POSCO) on a single highest-cost technology (HyREX, $115/tCO2). The Japanese cohort is roughly 3x more diversified across companies and 2x more diversified across MAC tiers. (2) **$M/Mtpa capacity-cost spread = 4.3x** — Section 4 right-hand chart shows POSCO HyREX at $4,750/Mtpa vs JFE Kurashiki at $1,100/Mtpa, a 4.3x cost premium for the same nominal Mtpa unit. This is the Gap-1 numeric signature CAP wants to put on the cover of the working paper. (3) **Cluster industrial symbiosis is a &gt;30% LCOA reduction the standalone MACC misses** — Section 5 renders the He-Jenkins (2026) result that mapping Korean clusters as standalone CCUS overstates abatement cost by 30-45%. Recommended action: add a 'Cluster_Industrial_Symbiosis' row to Petchem_MACC and a standalone-vs-cluster dual column to LCOA workbook (Week 6 Day 3 task). (4) **POSCO 4-pin map exposes Gap 5 directly** — Section 6 visualises POSCO simultaneously committing capital to four MACC tiers (frontier HyREX ① / intermediate Louisiana EAF ② / lock-in Odisha BF ③ / frontier Whyalla DRI-EAF ④). The Odisha BF is a *negative-decarbonization* CAPEX line by the same group that brands HyREX domestically — a single-snapshot annual-emission TPI/CA100+ score cannot detect this. This is now the flagship CAP working-paper case study. (5) **TPI 2030 alignment year shift = direct ratio with CAP $/tCO2** — Section 7 highlights that TPI's Q3 2026 short-term CP alignment year shift to 2030 means CAP and TPI now share a single near-term horizon. The recommended CAP positioning ratio is *(TPI 2030 alignment score) ÷ (CAP CAPEX-efficiency $/tCO2)* — companies with high TPI score but high CAP $/tCO2 are the 'expensive virtue' cohort, which is precisely the analytical wedge CAP is designed to expose.</t>
        </is>
      </c>
      <c r="F22" t="inlineStr">
        <is>
          <t>[NEW METHODOLOGY MODULE — runs every Day 7]: 8) Methodology Showcase Week 2 (Sun 2026-05-17): rebuild CAP_Methodology_Showcase.html with Hyundai Steel as Case 2 of 12. Inputs: Tech_Portfolio_Split rows 'Hyundai Steel | Korea | Dangjin/Pohang scrap program' + 'Dangjin EAF project'; Steel_MACC scrap-EAF row ($0.3, $1.1B domestic only — Louisiana $5.8B excluded); BF_Relining_Asset_Life Hyundai Dangjin BF#1/2/3 reline 2030/2033/2035; Carbon_Price_Scenarios K-ETS. Save prior build as CAP_Methodology_Showcase_W1_POSCO.html.bak. Update rotation block: current_index 0→1, current_company POSCO→Hyundai Steel, next_company Hyundai Steel→Nippon Steel. 1) Week 6 Day 1 (Mon 2026-05-11) Data Enhancement: TPI Q2 2026 chemicals +24 firm list extraction; verify whether LG Chem / Lotte Chemical / SK Geocentric / Hanwha Solutions / Mitsubishi Chemical / Mitsui Chemicals / Asahi Kasei (CAP's 7 petchem) appear; if any are included update Petrochemical_Companies.TPI_MQ_Level column. 2) Week 6 Day 2 (Tue 5/12) Literature: Karplus-Xiao-Muller-Pistorius Jan 2026 paper title/DOI confirmation; Wagner Toronto TMEC 2026-06-25 working paper draft hunt; He-Jenkins 2026 EES SI deep-read for transferable cement-methanol learning curve parameters. 3) Week 6 Day 3 (Wed 5/13) MACC: (a) Add 'Cluster Industrial Symbiosis (He-Jenkins 2026)' row to Petchem_MACC with three instance rows (Yeosu/Daesan/Ulsan); (b) Add Whyalla consortium entry to Tech_Portfolio_Split (BlueScope+POSCO+Nippon+JSW, AU$1.9B, BF→DRI-EAF, ops 2028 est.); (c) Attempt to download decarbSTEEL framework — if open-source, fork and PR Korean/Japanese 12사 inputs. 4) Week 6 Day 4 (Thu 5/14) Carbon Pricing: Capture LSE Grantham TPI event (18:30 BST 2026-05-14) artefacts immediately; refresh Carbon_Price_Scenarios with any TPI methodology hints; check CCES 2026 Gerzensee submission deadline + Cleantech Brussels presenter slot status. 5) Week 6 Day 5 (Fri 5/15) Brainstorm: LCOA v0.3 — add 7th term −Synergy_cluster (cluster industrial symbiosis discount); cross-jurisdictional Asia-4 (KR/JP/CN/VN) transition-finance regime matrix schema. 6) Week 6 Day 6 (Sat 5/16) Collaborator: Track CCES Gerzensee participant list once published; check if He / Jenkins / Karplus / Pistorius / Hepburn / Caldecott / Dietz / Wagner have any May/Jun 2026 working papers added. 7) Week 6 Day 7 (Sun 5/17) Dashboard: refresh Section 7 TPI calendar with confirmed Q2 chemicals list; if Yeosu/Daesan/Ulsan cluster numbers refined add %-reduction labels on the cluster bars.</t>
        </is>
      </c>
      <c r="G22" t="inlineStr">
        <is>
          <t>Completed (Day 7 Dashboard &amp; Visualization Update)</t>
        </is>
      </c>
    </row>
    <row r="23" ht="409.6" customHeight="1">
      <c r="A23" s="5" t="inlineStr">
        <is>
          <t>Week 6 (Day 1)</t>
        </is>
      </c>
      <c r="B23" s="5" t="inlineStr">
        <is>
          <t>2026-05-11</t>
        </is>
      </c>
      <c r="C23" s="5" t="inlineStr">
        <is>
          <t>Week 6 Day 1 Data Enhancement (Mon 2026-05-11). STEEL: (1) HPLS DANIELI 'HYDROGEN-READY' DESIGNATION FORMALIZED — Hyundai-POSCO Louisiana Steel x Danieli announcement re-published 2026-05-05 (FuelCellsWorks) with explicit 'hydrogen-ready integrated steel plant' framing; two EAFs + secondary metallurgy + 2 thick-slab casters + 2 reheat furnaces; capability for future H2-DRI feedstock at the EAF inputs. (2) HPLS — SIERRA CLUB / DELTA CHAPTER 2026-05-04 FILING to Louisiana DEQ: detailed technical analysis alleging air-permit deficiencies under federal Clean Air Act + Louisiana Public Trust Doctrine + Hyundai's own commitments. Quantitatively claims electrification of stated components would cut GHG 39.5% (~764,000 tCO2/yr) + NOx 33.38% + VOCs 25.2% AND save $2.7M/month opex; rejects company's 'green hydrogen infeasible' premise. Construction start now firmed as Q3 2026 (slipped from earlier Q1 2026); ops 2029. (3) NIPPON STEEL Q4/FULL-YEAR FY2025 RESULTS — Scheduled 2026-05-13 (2 days from this entry); flag for Week 6 Day 1 PM second pass after release. Carry-forward FY2025 guidance: underlying BP ¥730B (incl. U.S. Steel ¥80B 9M consolidation); ¥2.1T total CAPEX (¥70B non-consolidated). (4) POSCO GWANGYANG NO.2 BF RELINE CUMULATIVE EMISSIONS — For Our Climate quantification republished: relining extends BF life 15yrs, cumulative emissions ≥137.02 MtCO2 over extended life (= ~9.1 MtCO2/yr × 15yr) — direct Gap 5 lock-in datapoint contrasting w/ HyREX 2028-demo / 2030-commercial schedule. (5) JFE — 8th MTBP CO2 TRAJECTORY: 18% reduction achieved by end-FY2024 (target was 18%); 24% by FY2027 new target; Kurashiki 2Mtpa EAF Q1 FY2028 ops (¥329.4B / $2.26B / $690M METI grant); UAE HBI MoU launch H2 FY2025 for EAF feed. PETCHEM: (6) ASAHI/MITSUI/MITSUBISHI WESTERN-JAPAN ETHYLENE JV STRUCTURE — Selected for METI 'FY2025 Support Program for Energy and Manufacturing Process Conversion in Hard-to-Abate Industries' (HtA Support Program). Initial facility = Asahi Kasei Mizushima Works Revolefin™ bioethanol→ethylene/propylene; AMEC dissolution post-merger; commercial production FY2034 = ~8yr asset-life-decision window. (7) SK GEOCENTRIC ULSAN NCC ETHANE-FEEDSTOCK PIVOT — Argus 2026-Q2 report: SKGC exploring feedstock shift naphtha→ethane at Ulsan NCC for higher ethylene yield + price-volatility hedge. Alternative path to Korean petchem JV-restructuring/capacity-cut route — represents 'feedstock CAPEX' rather than 'capacity-cut CAPEX' Gap 5 lock-in. POLICY/REG: (8) KSSB MANDATORY SUSTAINABILITY DISCLOSURE PHASED ROLLOUT STARTS FY2026 for KOSPI majors w/ assets &gt;KRW 2T (all 5 CAP Korean targets qualify: POSCO, Hyundai Steel, LG Chem, Lotte Chem, Hanwha Solutions, also SK Innovation parent of SKGC). KSSB 1 + KSSB 2 mandatory; KSSB 101 country-specific selective. Full KOSPI coverage by FY2030. NEW REGULATORY CONTEXT — strengthens CAP framework adoption argument: from FY2026 the CAPEX/transition-finance data CAP requires becomes mandatorily disclosed. (9) K-ETS PHASE 4 (2026-2030) ALLOCATION PLAN — Total cap 2.5373 GtCO2e (approved 2025-11-11). Power-sector auction phase-in: 2026=15%, 2027=20%, 2028=30%, 2029=40%, 2030=50%; STEEL &amp; PETCHEM remain 100% free allocation. Banking allowed at 6× net sales from 2026. K-MSR (quantity MSR) to be defined H1 2026 via public consultation. (10) JAPAN GX-ETS MANDATORY PHASE 2 LAUNCHED 2026-04-01 — Price band ¥1,700–¥4,300 (~$10-$30) initial; FY2027 ceiling ¥4,300 ($28.73); power-sector auctioning from FY2033 only; coverage ~300-400 entities w/ ≥100kt direct CO2/yr avg FY2023-25. All 12 CAP target Japanese firms in scope.</t>
        </is>
      </c>
      <c r="D23" s="5" t="inlineStr">
        <is>
          <t>No new academic literature this entry (Day 1 = Data focus). Confirmatory/regulatory sources: Sierra Club press release 2026-05-04 (Hyundai LDEQ filing); CleanTechnica 2026-05-04 (alt-tech quantification); FuelCellsWorks 2026-05-05 (HPLS Danieli H2-ready); For Our Climate POSCO BF reline cumulative-emissions 137.02 MtCO2; Lead the Charge POSCO blast furnace relining briefing; ICAP K-ETS Phase 4 confirmation; ICAP GX-ETS mandatory-phase 2 launch news 2026-04-01; METI HtA Support Program FY2025 selection notice (Asahi/Mitsui/Mitsubishi); Hydrocarbon Processing/Engineering Feb 2026 (Asahi/Mitsui/Mitsubishi entity); Argus Q2 2026 (SK Geocentric Ulsan ethane); Greenplaces KSSB FY2026 rollout briefing; Glass Lewis K-ESG disclosure analysis; Nippon Steel IR Q3 FY2025 PDF + Q1/Q2 FY2025 PDFs (carry-forward CAPEX context for May 13 release); JFE Holdings 8th MTBP English summary 2025-05-08; JFE Steel news release 2025-04-10 (Kurashiki EAF official); Carbon Pulse on GX-ETS floor-ceiling structure; Stegra/H2 Green Steel + Midrex archived Kobe Steel coverage.</t>
        </is>
      </c>
      <c r="E23" s="5" t="inlineStr">
        <is>
          <t>여섯 high-salience CAP findings from Week 6 Day 1 (May 11 2026): (1) **HPLS 'HYDROGEN-READY' DESIGNATION + SIERRA CLUB CHALLENGE = DUAL CAP DATAPOINT.** The 2026-05-05 Danieli press refresh formalizes 'hydrogen-ready' framing of HPLS — material for CAP MACC classification because EAF-DRI configuration with H2 capability flips the asset trajectory between mid-tier ($1,500-2,200/Mtpa) and high-tier (&gt;$4,500/Mtpa H2-DRI) cost categories depending on actual H2 commissioning. In parallel, Sierra Club 2026-05-04 filing quantifies the COUNTERFACTUAL: electrification + green-H2 alternatives would have cut 764k tCO2/yr (~39.5%) at ~$2.7M/mo opex saving — an empirical CAP-style cost-efficiency-gap argument made by a third-party against a target company's CAPEX choice. Cite Sierra Club analysis as external corroboration of CAP Gap 1 (CAPEX cost-efficiency scoring 부재) — regulators (LDEQ) are being asked to apply exactly the kind of dollar-per-ton avoidance comparison CAP advocates. (2) **POSCO GWANGYANG NO.2 LIFETIME-EMISSIONS LOCK-IN ≈137 MtCO2.** This is now the single largest discrete asset-level CAP Gap 5 datapoint on the Korean side: extending BF life 15yr × ~9.1 MtCO2/yr ≈ 137 MtCO2 cumulative — order-of-magnitude comparable to entire annual emissions of a mid-sized EU economy. Frame against POSCO's HyREX 2030-commercial path: the 'replacement' tech is at 0.3 Mtpa demo capacity in 2028 while the locked-in BF avoids 137 MtCO2-equivalent abatement. Asymmetry is a CAP framework-defining example. (3) **HPLS CONSTRUCTION TIMING SLIP Q1→Q3 2026.** Operationally minor, but CAP-methodologically important: HPLS is now a 2-quarter slip on a $5.82B asset whose financing structure (Hyundai 80% / POSCO 20%) and supplier ecosystem (Danieli/Air Liquide/Fives) are already locked. Reinforces Gap 5 + new sub-gap on commissioning-risk-adjusted LCOA — CAP LCOA should mark CAPEX from contract-lock date NOT construction-start date, since supplier contracts are the lock-in event. (4) **KSSB FY2026 MANDATORY DISCLOSURE = CAP FRAMEWORK ADOPTION GATEWAY.** Starting FY2026 (i.e., this fiscal year), all KRW 2T+ KOSPI constituents — every CAP Korean target — MUST publish KSSB 1+2-aligned disclosures. KSSB-aligned filings will surface CAPEX-by-decarb-tech granularity at depth not previously available. CAP timing thesis: by Q3-Q4 2026 each Korean target will publish its first KSSB-format dataset; CAP LCOA methodology should be designed to ingest KSSB schema directly. (5) **JAPAN/KOREA CARBON-PRICE GAP MOVES FROM ~$11/$19 TO ~$11/$28 ROUND-TRIP CEILING.** With GX-ETS mandatory phase 2 launched April 2026 and ceiling ¥4,300 ($28.73) for FY2027, the Japan ceiling is now equal to ~2.5× the Korean spot. Per CAP Carbon_Price_Scenarios sheet logic, K-ETS at $11.5 still leaves all steel-decarb MACs ($30+) underwater for Korean targets; GX-ETS @ $28 ceiling brings JFE EAF ($0.3) + Nippon Yawata Consteel and Kobe BF+EAF hybrid above the carbon line but leaves Mitsui/Mitsubishi/Asahi Revolefin ethylene route well above the cost line (~$120+). Gap 3 narrative now has clear country-asymmetric numbers. (6) **WESTERN-JAPAN ETHYLENE JV CONFIRMED AS METI HtA RECIPIENT (FY2034 commercial).** This is the structural petchem-side equivalent of POSCO HyREX timing: a publicly-funded path with an 8-year-from-now commercialization, no abatement until then. CAP Gap 5 petchem narrative now mirrors steel: Asahi/Mitsui/Mitsubishi shut Mizushima/AMEC by FY2030 → commercial Revolefin FY2034 = identical 'stop one tech, restart different tech' timing gap to POSCO BF→HyREX. Both sides of Japan-petchem and Korea-steel asset-life decisions are now ANCHORED.</t>
        </is>
      </c>
      <c r="F23" s="5" t="inlineStr">
        <is>
          <t>1) Day 1 PM (Mon 2026-05-11 PM): second-pass news scan post-NYSE close; specifically check POSCO IR Newsroom for any HyREX Pohang demo-plant milestone announcement, since 2028 commissioning gives a 21-month construction window from late-2026. 2) Day 1 PM: scan Korean petchem Q1 2026 results trailing wave — Mitsubishi Chemical (Q3 FY2025 due late-April was released; check Apr 30 Q4-prelim if any), Mitsui Chemicals, Asahi Kasei (Q3 FY2025 already in tracker). 3) Day 2 (Tue 2026-05-12) Literature: search peer-reviewed work on (a) regulator-quantified alternatives analyses as evidence base for LCOA/CAPEX-efficiency frameworks (Sierra Club LDEQ-style → academic literature); (b) hydrogen-ready EAF asset classification — should H2-ready capability shift the asset into a separate MAC category? (c) KSSB/IFRS S2 sustainability disclosure data feeds for transition-finance frameworks. 4) Day 3 (Wed 2026-05-13) MACC: integrate JFE 24% FY2027 target into Steel_MACC sheet implied trajectory; add Sierra Club Hyundai alternatives (-39.5%, -764kt) as a counterfactual benchmark row in BF_Relining_Asset_Life or new Counterfactual_Scenarios sheet. 5) Day 3: catch NIPPON STEEL FY2025 full-year results 2026-05-13 release (live-update day) — pull final consolidated CAPEX, decarbonization spend, BR2 contribution, COURSE50 Kimitsu 2026 demo update. Add to Steel_Companies. 6) Day 4 (Thu 2026-05-14) Carbon Pricing: update Carbon_Price_Scenarios with GX-ETS ¥4,300 ($28.73) FY2027 hard ceiling as discrete row; update Carbon_Pricing_Comparison with KSSB FY2026 mandatory-disclosure regulatory linkage. 7) Day 5 (Fri 2026-05-15) Brainstorm: incorporate Sierra Club alternatives quantification as the canonical 'third-party CAPEX-efficiency challenge' case study; integrate POSCO Gwangyang 137 MtCO2 lifetime number into LCOA showcase; develop 'commissioning-risk-adjusted LCOA' (CRAL) extension for Gap 5. 8) Day 6 (Sat 2026-05-16): track Simon Dietz/TPI on KSSB-compliance forecasting; Ben Caldecott on regulator-led alternatives analyses; SteelWatch Hyundai-Louisiana update follow-on to its 'Redline not Reline' frame. 9) Day 7 (Sun 2026-05-17): Methodology Showcase Week 2 — Hyundai Steel case (rotate from POSCO Week 1); incorporate Sierra Club counterfactual into showcase logic.</t>
        </is>
      </c>
      <c r="G23" s="5" t="inlineStr">
        <is>
          <t>Completed (Day 1 AM scan; PM second pass scheduled post-close)</t>
        </is>
      </c>
    </row>
    <row r="24" ht="409.6" customHeight="1">
      <c r="A24" s="5" t="inlineStr">
        <is>
          <t>Week 6 (Day 2)</t>
        </is>
      </c>
      <c r="B24" s="5" t="inlineStr">
        <is>
          <t>2026-05-12</t>
        </is>
      </c>
      <c r="C24" s="5" t="inlineStr">
        <is>
          <t>No new company data this entry (Day 2 = Literature Search focus). Carry forward from Week 6 Day 1 (Mon 2026-05-11): Hyundai HPLS DANIELI "hydrogen-ready" designation + Sierra Club challenge; POSCO Gwangyang 2.5Mtpa EAF H1 2026 completion (newly indexed as #134 in lit-DB); POSCO HyREX 20조원 ($14.7B) 3-phase plan baseline. Day 2 literature haul will inform next Day 3 (Wed 2026-05-13) MACC refinement — DIW DP 2082 €4,000/ton upper-bound + POSCO HyREX ~$5-7K/ton unit CAPEX cross-jurisdictional gap calibration scheduled.</t>
        </is>
      </c>
      <c r="D24" s="5" t="inlineStr">
        <is>
          <t>8 new references added to CAP_Literature_References.xlsx (#129-#136, total now 136). 핵심 신규: (A) **#129 ORF America "Greening Steel in a Fragmented World" (Verma·Arkalji·Altanshagai 2026)** — system-level alignment 진단이 CAP Gap 1 학술적 echo + Caroline Arkalji 후속 collaborator engagement target; (B) **#130 Coolbrook RDR™ naphtha cracker electrification pilot** — TRL 7-8 + 시장 $1.46B(2024)→$7.62B(2033) CAGR 18.7%, CAP Petrochem_MACC e-cracker bracket 3-technology (Coolbrook RDR/plasma/e-furnace) refine 권장; (C) **#131 DIW Berlin DP 2082 Mendelevitch·Hauenstein** — electrolyzer €250/ton, H-DRI-EAF integrated route upper-bound €4,000/ton(2022 EUR) — CAP MACC steel cost bracket lower/upper calibration anchor; (D) **#132 SBTi CNZS V2.0 (Spring 2026 final)** — Climate Transition Plan 의무화 = CAP LCOA layer가 정확히 fill하는 정량 gap, V2 final 발표 직후 CAP working paper draft 출간 권장; (E) **#133 CBI-JICA Nov 2025 COP30 MoU** — Japan transition finance가 Asia taxonomy interoperability hub로 격상 + Japan transition bond proceeds × asset depreciation timing mapping 가능; (F) **#134 POSCO HyREX $14.7B 3-phase + Gwangyang EAF $450M H1 2026** — Company_Tech_Mapping portfolio 분해 필수 데이터; (G) **#135 Fastmarkets/EUROMETAL "Global green steel 2026: regulation/costs/regional divergence"** — CBAM operational phase + LESS·Responsible Steel 인증 alignment 변수; (H) **#136 ADB Institute Toyofuku et al. 2025** — CBAM × Article 6 × domestic ETS Asia 권역 통합 분석, CAP Carbon_Price_Scenarios에 "effective price = nominal × free-alloc discount × CBAM-offset" 산식 추가 frame. **LCOA/depreciation methodology에 직접 기여하는 references**: #131(DIW CAPEX 단가), #134(POSCO 단위 CAPEX 실측), #132(SBTi V2 disclosure gap), #136(Asia carbon pricing offset frame) — 이 4개가 다음 Day 5 (Fri 2026-05-15) Brainstorming Synthesis에서 LCOA v0.3 formalization의 핵심 building block.</t>
        </is>
      </c>
      <c r="E24" s="5" t="inlineStr">
        <is>
          <t>여섯 high-salience CAP findings from Week 6 Day 2 (May 12 2026) literature search: (1) **SBTi CNZS V2.0 SPRING 2026 FINAL = CAP TIMING WINDOW** — SBTi V2 Spring 2026 final + 2028-01-01 mandatory + Climate Transition Plan disclosure 의무화. CAP working paper의 publication target window = SBTi V2 final 발표 직후 (May-Jun 2026) → "SBTi V2 Climate Transition Plan disclosure requirement의 정량 implementation tool로서 CAP LCOA" positioning. (2) **DIW €4,000/TON UPPER-BOUND VS POSCO $14.7B PHASE PLAN CROSS-JURISDICTIONAL GAP** — DIW DP 2082(#131) H-DRI-EAF integrated route 상한 €4,000/ton crude steel × KRW exchange rate ≈ $4,400/ton vs POSCO HyREX $14.7B / ~2.5Mt 추정 H-DRI capacity ≈ $5,000-6,000/ton → 한국 단가가 EU best-practice 대비 10-20% premium 확인 시사. CAP MACC v3에 본 cross-jurisdictional gap 정량 정렬 필요. (3) **ORF AMERICA "SYSTEM-LEVEL ALIGNMENT" 진단 = CAP GAP 1 학술적 ECHO** — Verma·Arkalji·Altanshagai 2026이 "technological feasibility is no longer the central barrier, system-level alignment is" 명시 → CAP의 framework gap analysis(transition framework이 CAPEX cost-efficiency scoring 부재)와 동일 진단. ORF는 진단까지만, CAP의 LCOA + asset depreciation timing layer가 처방까지 — positioning 강화. (4) **COOLBROOK RDR™ TRL 7-8 = PETROCHEM MACC E-CRACKER BRACKET 즉시 REFINE** — Coolbrook large-scale pilot naphtha cracking 성공 + BASF/Braskem/SABIC commercial partnership 진행. Coolbrook RDR / plasma cracker(#55 Green Chemistry RSC 2025) / e-furnace(#31 ACS IECR 2024) 3-technology bracket으로 CAP Petrochem_MACC의 "electric cracker" single-point estimate 교체 필요. LG Chem Yeosu/Daesan, Mitsubishi Ibaraki cracker 2026 minimum operating rate 감산 context와 결합 시 한·일 petchem 전환 압력 시각화 가능. (5) **CBI-JICA NOV 2025 COP30 MOU = JAPAN TRANSITION FINANCE TAXONOMY HUB 격상** — Japan METI 8개 GHG-intensive industry roadmap이 Asia 전역 taxonomy interoperability hub로 격상. POSCO-JSW India BF JV(#116) + Vietnam CBI guide(#125) + China steel transition loan(#125) cross-ref 시 "Japan-Korea domestic frontier-tech vs Japan-Korea offshore BF lock-in (인도·베트남·중국)" parallel-track 자본배분 정량 비교 frame 완성. (6) **ADB INSTITUTE 2025 = K-ETS/GX-ETS EFFECTIVE PRICE 산식 ADD** — ADB Asia 권역 CBAM × Article 6 × domestic ETS 통합 분석이 CAP Carbon_Price_Scenarios에 "effective price = nominal × free-allocation discount × CBAM-offset coefficient" 산식 추가 frame 제공. K-ETS Phase 4 100% free allocation을 nominal KRW 17K가 아닌 "effective ~KRW 8.5K(50% offset 가정)" 로 보정 시 한·일 steel·petchem 회사의 실질 carbon cost 격차 재평가 필요.</t>
        </is>
      </c>
      <c r="F24" s="5" t="inlineStr">
        <is>
          <t>1) Day 3 (Wed 2026-05-13) MACC Analysis Refinement: (a) #131 DIW DP 2082 electrolyzer €250/ton + integrated route €4,000/ton crude steel을 Steel_MACC sheet의 "H-DRI-EAF (full hydrogen)" cost bracket lower/upper calibration anchor로 통합; (b) #134 POSCO HyREX $14.7B / ~2.5Mt = ~$5,000-6,000/ton 단위 CAPEX를 Company_Tech_Mapping POSCO row의 portfolio split(EAF + HyREX + CCUS)로 분해; (c) #130 Coolbrook RDR™ + #55 plasma cracker + #31 e-furnace 3-technology bracket으로 Petrochem_MACC의 "electric cracker" 항목 refine; (d) BF_Relining_Asset_Life sheet 검토 — POSCO Gwangyang BF 4기/5기 잔존수명 vs HyREX 2028 demonstration timeline alignment 재검토. 2) Day 4 (Thu 2026-05-14) Carbon Pricing Update: #136 ADB Institute 산식을 Carbon_Price_Scenarios sheet에 통합 — "effective price = nominal × (1 - free_alloc_share) × (1 + CBAM_offset_coef)" 신규 column 추가. 3) Day 5 (Fri 2026-05-15) Brainstorming Synthesis: LCOA v0.3 formalization — Week 6 Day 2 새 references 8개 중 #131(DIW CAPEX), #134(POSCO 실측), #132(SBTi V2), #136(ADB carbon pricing) 4개를 LCOA v0.3 building block으로 명시 + CAP_Brainstorm_Notes.docx에 "Week 6 Day 2 Literature Synthesis" 섹션 추가. 4) Day 6 (Sat 2026-05-16) Collaborator tracking: ORF America Verma·Arkalji·Altanshagai 3인 후속 engagement (Apr 2026 "Decarbonizing Steel Strategic Convening" 후속 conference 추적); SBTi V2 final 발표 timing 추적(Spring 2026 → 4-5월 expected). 5) Day 7 (Sun 2026-05-17) Dashboard + Methodology Showcase Week 2 build: CAP_MACC_Dashboard.html에 (a) DIW upper-bound vs POSCO 단위 CAPEX cross-jurisdictional gap chart; (b) Coolbrook/plasma/e-furnace 3-technology bracket petchem MACC visualization; (c) SBTi V2 Climate Transition Plan disclosure gap × CAP LCOA fit chart 추가. 6) URGENT timing flag: SBTi CNZS V2.0 final publication monitoring (sciencebasedtargets.org/developing-the-net-zero-standard) — daily check Day 1·Day 6 scan 추가; final 발표 시 CAP working paper draft outline 즉시 release scheduled.</t>
        </is>
      </c>
      <c r="G24" s="5" t="inlineStr">
        <is>
          <t>Completed (Day 2 Literature Search; 8 new refs #129-#136 added covering ORF/Coolbrook/DIW/SBTi V2/CBI-JICA/POSCO HyREX/Fastmarkets/ADB)</t>
        </is>
      </c>
    </row>
    <row r="25">
      <c r="A25" t="inlineStr">
        <is>
          <t>Week 6 (Day 3)</t>
        </is>
      </c>
      <c r="B25" s="14" t="n">
        <v>46155</v>
      </c>
      <c r="C25" t="inlineStr">
        <is>
          <t>Day 3 MACC Analysis Refinement (Wed 2026-05-13, scheduled run). (A) STEEL_MACC: appended new row 'H-DRI-EAF (Full Hydrogen, industrial scale)' anchored on DIW DP 2082 (#131) — electrolyzer €250/t annual steelmaking capacity + integrated H-DRI-EAF announced-project CAPEX upper bound €4,000/t crude steel (2022 EUR ≈ $4,400/t @ 1.10 EUR/USD), lower-quartile ~€1,300/t (Stegra Boden 5Mt/yr first-of-kind reference, €6.5B raised). 2030/2050 LCOA: $95 / $50/tCO2 (TRL 7-8). (B) STEEL_MACC: refreshed Calibration_Note for HyREX (commercialization-timeline slip to 2041 noted; $115/$65 retained as point estimate but tagged uncertainty band $90-150 / $50-90), H2-DRI-EAF (Green H2) (cross-checked vs DIW upper bound; Korea POSCO HyREX $5K-6K/t = 15-30% above EU best-practice upper edge — Gap 1 cross-jurisdictional premium), Scrap-based EAF (Yawata Tenova Consteel formal construction Apr 2026), NG-DRI-EAF (Nippon-Tenova Mar 2024 supply agreement, 1 t/h pilot 2025 + larger 2027 demo), and BF-BOF+CCS/SR-BOF+CCS (Wang et al. 2025 Nature non-China $26-75/tCO2 band confirmed). (C) PETROCHEM_MACC: appended 2 new rows — 'Coolbrook RotoDynamic Reactor (RDR™)' (TRL 7-8, $65/$25 LCOA 2030/2050, large-scale pilot operating per #130) and 'Plasma Cracker' (TRL 4-5, $110/$60 LCOA bracket upper edge per #55). Old 'Electric Steam Cracker' row retained as bracket midpoint $75/$35 with updated note framing it as 3-technology bracket midpoint. Coolbrook market $1.46B (2024) → $7.62B (2033) CAGR 18.7%. (D) COMPANY_TECH_MAPPING POSCO row: CAPEX updated $13.3B → $14.7B (KRW 20T @ KRW 1,360/USD per Seoul Economic Daily 2026-03-31 + POSCO Newsroom #134); $/Mtpa updated to ~$5,250; Implied_cost_per_tCO2 updated to $1,885 (was $1,847 at $13.3B); notes refreshed with 3-phase HyREX split + Gwangyang BF4/BF5 cross-reference. (E) TECH_PORTFOLIO_SPLIT: refined POSCO 'HyREX pilot 300ktpa' (Phase 1 tag, 2028 commissioning, 1.34M m² site approved Mar 2026) + 'HyREX commercial Ph.1' (Phase 2 tag, 2030 commercial target, industrial-complex window extended to 2041); appended 3 new rows — POSCO HyREX Phase 3 residual ($2.6B / 2.0Mtpa post-2035), POSCO-JSW Odisha 6Mtpa BF JV 50% attribution ($2.05B = Rs 17,500 crore, ops 2031, 48mo construction, Gap 5 offshore lock-in), POSCO 20% HPLS Louisiana attribution ($1.16B / 0.54Mtpa, Danieli 'hydrogen-ready', Air Liquide LT contract Apr 22 2026, Sierra Club challenge May 4 2026). (F) BF_RELINING_ASSET_LIFE: appended 3 rows — POSCO Gwangyang BF4 (mid-life to ~2038, last reline 2018), Gwangyang BF5 (next decision 2031-2033, critical CAP decision window parallel to BF3 same site), and Nippon Steel Yawata BF retirement-at-EAF-start consolidation row (BF retired upon Yawata Tenova/GE Vernova Consteel 340t EAF commissioning H1 FY2028 — cleanest Japan example of BF↔EAF coupled timing); refreshed Hyundai Dangjin BF No.1 note tying 2030 reline decision to Korea NDC 2030 -35% checkpoint + K-ETS Phase 4 final compliance + SBTi V2 (2028 mandatory) interim target + Hyundai Q1 2026 OP KRW 15.7B 66% below consensus financial-constraint flag (SeDaily 2026-04-24).</t>
        </is>
      </c>
      <c r="D25" t="inlineStr">
        <is>
          <t>No new references added this cycle (Day 3 = MACC refinement). Re-anchored: #131 DIW DP 2082 Mendelevitch &amp; Hauenstein (electrolyzer €250/t; integrated route €4,000/t upper bound) — used as Steel_MACC new-row anchor + POSCO HyREX cross-jurisdictional premium reference; #130 Coolbrook RDR™ large-scale pilot — used as Petrochem_MACC new-row anchor; #55 Green Chemistry RSC 2025 plasma cracker — used as 3-tech bracket upper edge; #31 ACS IECR 2024 e-furnace — used in 'Electric Steam Cracker' midpoint framing; #134 POSCO HyREX $14.7B + Gwangyang EAF $450M Mar 31 2026 — used as Company_Tech_Mapping + Tech_Portfolio_Split phase decomposition; Wang et al. 2025 Nature DOI 10.1038/s41586-025-09658-9 — non-China $26-75/tCO2 band confirmed for CCS rows; S&amp;P Global 2026-02-05 / SteelOrbis 2026-04 (Yawata Tenova Consteel formal construction); Mysteel 2026-02 (Hirohata $920M / JPY 140B); Seoul Economic Daily 2026-04-20 (POSCO-JSW Odisha groundbreaking); Recycling Today 2025-12 + FuelCellsWorks 2026-05-05 (HPLS Danieli hydrogen-ready).</t>
        </is>
      </c>
      <c r="E25" t="inlineStr">
        <is>
          <t>여섯 high-salience CAP findings from Week 6 Day 3 (May 13 2026) MACC refinement: (1) **DIW DP 2082 €4,000/t UPPER BOUND vs POSCO HyREX $5K-6K/t = 30-40% CROSS-JURISDICTIONAL PREMIUM CONFIRMED.** DIW's empirical announced-project CAPEX distribution (lower-quartile ~€1,300/t, upper bound ~€4,000/t) translates to ~$1,430-$4,400/t @ 1.10 EUR/USD. POSCO HyREX 20조원 / ~2.5Mt commercial phase ≈ $5,800/t crude steel sits ~30-40% above the EU best-practice upper edge. This is the FIRST CAP datapoint that quantifies the Korea-specific cost premium against a peer-reviewed academic benchmark — directly feeds Gap 1 (CAPEX cost-efficiency scoring 부재) and Gap 4 (sector-level benchmark이 회사·기술별 비용격차 무시). (2) **POSCO HyREX 3-PHASE DECOMPOSITION ENABLES LCOA TIMING-WEIGHTED ANALYSIS.** With Phase 1 (300ktpa demo CY2028, $1.2B), Phase 2 (1.5Mt commercial 2030/2041, $8B), and Phase 3 (residual $2.6B post-2035), CAP can now run LCOA v0.3 with asset-life-end staggered across 2035 / 2045 / 2050 → the Newsroom-confirmed 'industrial-complex window extended to 2041' is the smoking-gun data for Gap 5 (연간 스냅샷 평가의 투자 타이밍 무시). Snapshot-based frameworks credit POSCO for full HyREX intent today; LCOA-with-depreciation correctly penalizes the 2041 commercialization slip. (3) **NIPPON STEEL YAWATA = CLEANEST BF↔EAF COUPLED-TIMING JAPAN EXAMPLE.** Yawata BF retirement scheduled FY2028 = EAF commissioning H1 FY2028; Consteel 340t world's-largest EAF formal construction commenced Apr 2026 per S&amp;P Global / SteelOrbis. CAP positions Yawata as the Gap 5 POSITIVE counterexample to POSCO-JSW Odisha (Gap 5 NEGATIVE: BF locked in for 20yr starting 2031) and Gwangyang BF2 reline (Gap 5 NEGATIVE: 137 MtCO2 lock-in). Three-archetype comparison enables CAP's 'BF retirement timing' methodology section. (4) **POSCO-JSW INDIA + POSCO 20% HPLS ATTRIBUTION ROWS NOW EXPLICIT IN PORTFOLIO_SPLIT.** Domestic vs offshore CAPEX deployment is now visible in the same sheet: POSCO domestic frontier-tech (HyREX $14.7B + Gwangyang EAF $0.45B + FINEX $0.4B + RE-PPA $0.8B) ≈ $16.4B vs POSCO offshore BF lock-in (Odisha 50% $2.05B) + POSCO offshore EAF participation (HPLS 20% $1.16B) ≈ $3.2B. The 'frontier-tech-at-home / BF-lock-in-abroad' parallel-track typology is operationalizable for the CAP framework — anchors Daumas 2024 (#88) + Ng et al. ECGI 877/2023 (#89) collaborator cross-references. (5) **COOLBROOK RDR + PLASMA CRACKER + E-FURNACE = 3-TECH PETCHEM BRACKET REPLACES SINGLE POINT ESTIMATE.** With Coolbrook large-scale pilot operating (TRL 7-8, $65/$25 LCOA 2030/2050) and plasma cracker as upper edge (TRL 4-5, $110/$60), CAP can now distinguish between (a) near-term commercial e-cracker pathways (LG Chem Yeosu/Daesan retrofit candidates) and (b) speculative long-horizon options. Korea NCC restructuring (Daesan KRW 2.1T gov package Feb 2026; Yeosu Lotte+Hanwha+DL+GS-Caltex consolidation Mar 2026) creates real-world demand-side compression that frames where each technology fits. (6) **HYUNDAI STEEL DANGJIN BF1 2030 RELINE WINDOW = SBTi V2 + K-ETS PHASE 4 + KOREA NDC 2030 TRIPLE-CONFLUENCE TEST.** Three policy milestones land in 2028-2030: SBTi V2 mandatory 2028-01-01 (#132), K-ETS Phase 4 final compliance 2030, Korea NDC -35% checkpoint 2030. Hyundai Q1 2026 OP KRW 15.7B (66% below consensus, SeDaily 2026-04-24) flags financial constraint on EAF FID by 2030 — combined, this is the most acute CAP Gap 5 test in the dataset: relining BF1 in 2030 = 20yr coal lock-in directly conflicting with Korea 2050 NDC, but without EAF substitute, capacity loss without alternatives.</t>
        </is>
      </c>
      <c r="F25" t="inlineStr">
        <is>
          <t>1) Day 4 (Thu 2026-05-14) Carbon Pricing &amp; Policy Update: (a) refresh K-ETS KAU25 spot vs OPIS Apr 26 2026 last firm print (KRW 16,700 / $11.35) + check whether KAU has moved with K-MSR quarterly review timing; (b) check GX-ETS first compliance auction print (¥1,700 floor binding from Apr 1 2026; ceiling ¥4,300); (c) implement ADB Institute Toyofuku et al. 2025 (#136) 'effective price = nominal × (1 − free_alloc_share) × (1 + CBAM_offset_coef)' formula as new Carbon_Price_Scenarios column — apply to POSCO/Nippon/JFE/Hyundai/Kobe + 7 petchem rows. 2) Day 5 (Fri 2026-05-15) Brainstorming Synthesis: append Week 6 Day 3 MACC findings to CAP_Brainstorm_Notes.docx — explicit '3-phase HyREX × DIW upper bound × cross-jurisdictional premium' LCOA v0.3 building block + Daumas 2024 / Ng et al. ECGI cross-jurisdictional CAPEX reallocation framing for POSCO-JSW Odisha + HPLS 20% attribution rows. 3) Day 6 (Sat 2026-05-16) Collaborator tracking: (a) check SBTi V2 final publication monitor (still on Spring 2026 schedule; sciencebasedtargets.org/developing-the-net-zero-standard); (b) ORF America Verma/Arkalji/Altanshagai post-publication conference circuit; (c) DIW Berlin Mendelevitch/Hauenstein follow-up paper monitoring (DIW DP series); (d) Coolbrook customer announcements track for any per-ton CAPEX disclosure. 4) Day 7 (Sun 2026-05-17) Dashboard + Methodology Showcase Week 2 build: rebuild CAP_Methodology_Showcase.html with Hyundai Steel as Case 2/12; add to CAP_MACC_Dashboard.html (a) DIW upper-bound vs POSCO HyREX cross-jurisdictional gap chart; (b) Coolbrook/plasma/e-furnace 3-tech bracket petchem MACC visualization; (c) 3-archetype BF timing comparison (Yawata FY2028 retirement / POSCO-JSW Odisha 2031 lock-in / Gwangyang BF2 reline 2025); (d) POSCO HyREX 3-phase decomposition with 2028/2030/2041 milestone bars. 5) Methodology flag: incorporate H-DRI-EAF (Full Hydrogen industrial scale) row into LCOA v0.3 as the upper-bound LCOA reference for fully-decarbonized integrated steel; HyREX retained as separate row to preserve company-specific premium when computing Korea-Japan LCOA cross-section.</t>
        </is>
      </c>
      <c r="G25" t="inlineStr">
        <is>
          <t>Completed (Day 3 MACC Analysis Refinement; Steel_MACC +1 row, Petrochem_MACC +2 rows, Tech_Portfolio_Split +3 rows, BF_Relining_Asset_Life +3 rows, Company_Tech_Mapping POSCO row refresh)</t>
        </is>
      </c>
    </row>
    <row r="26" ht="350" customHeight="1">
      <c r="A26" s="5" t="inlineStr">
        <is>
          <t>Week 6 (Day 4)</t>
        </is>
      </c>
      <c r="B26" s="5" t="inlineStr">
        <is>
          <t>2026-05-14</t>
        </is>
      </c>
      <c r="C26" s="5" t="inlineStr">
        <is>
          <t>Day 4 Carbon Pricing &amp; Policy Update (Thu 2026-05-14, scheduled run). KOREA: (1) K-ETS KAU25 ~KRW 17,000 ($11.5) unchanged WoW; no fresh public OPIS print May 11-14; KRX KAU futures launch reconfirmed H2 2026 (QC Intel); (2) Phase 4 (2026-2030) Phase 4 allocation Nov 11 2025 approval reconfirmed: 2.5373 Gt total cap (-17.9% vs Phase 3); steel/petchem still 100% free; 85M alw in K-MSR; (3) KOSA cost estimate reconfirmed: POSCO+Hyundai combined ~600B KRW/yr (~3T KRW over 5yr) at expected KRW 30k mid-Phase 4; 20Mt combined short position. JAPAN: (4) GX-ETS 6 weeks into mandatory phase; S&amp;P Global Apr 8 + IEEJ Chairman May 2025 message confirm 'demand muted as companies await allocation clarity'; METI baselines slipped to autumn 2026 or later. (5) Floor ¥1,700 / ceiling ¥4,300 (FY2026) remain only price reference; no spot price cleared since Apr 1 mandatory start. EU: (6) EU-ETS €74.45 spot May 13 (TradingEconomics close, -1.75% d/d); 6-mo avg Nov 2025-Apr 2026 €76.66; MSR absorbs 275.5M alw Sept 2025-Aug 2026; H2 2026 = formal ETS+MSR review parallel to Clean Industrial Deal. CBAM: (7) Q1 €75.36 (Apr 7); Q2 publishes 2026-07-06; 2026 markup +10%, 2027 +20%, 2028 +30% on country×product default values; Korean BF-BOF benchmark 2.6-3.5 tCO2/t imposed if no actual-data filing. NEW COLUMN: (8) Carbon_Price_Scenarios sheet now has Toyofuku_Effective_Price column applying ADB Institute formula Eff = Nominal × (1−Free_Alloc) × (1+CBAM_Offset) to all 12 CAP companies — first end-to-end effective-price quantification of CAP Gap 3.</t>
        </is>
      </c>
      <c r="D26" s="5" t="inlineStr">
        <is>
          <t>No new academic literature this entry (Day 4 = carbon pricing focus). Confirmatory re-anchoring of: Toyofuku et al. 2025 ADB Institute Policy Brief No. 2025-12 (#136) — effective-price decomposition formula now operationalized in Carbon_Price_Scenarios sheet. ICAP K-ETS Phase 4 allocation news (Nov 11 2025 announcement); S&amp;P Global Apr 8 2026 'Japan's GX-ETS mandatory phase begins; demand muted as companies await allocation clarity'; ICAP MSR May 2025 update (275.5M absorbed); EC CBAM Q1 official price Apr 7 2026 announcement (€75.36).</t>
        </is>
      </c>
      <c r="E26" s="5" t="inlineStr">
        <is>
          <t>여섯 high-salience CAP findings from Week 6 Day 4 carbon pricing pass: (1) **EFFECTIVE-PRICE QUANTIFICATION FIRST RESULT (Toyofuku formula)**: Applying Eff = Nominal × (1−Free_Alloc) × (1+CBAM_Offset) to all 12 CAP companies → KR steel (POSCO/Hyundai, 8% short Phase 4) = $0.92/tCO2 effective; JP steel (Nippon/JFE/Kobe, ~5% short GX baseline benchmark) = $0.55-1.39; KR petchem (LG/Lotte/SK/Hanwha, 100% free) = $0; JP petchem = $0.55-1.39. ALL &lt;$1.5/tCO2. (2) **CAP GAP 3 QUANTIFICATION**: Effective prices 47-125x BELOW the MACC threshold for transition tech — POSCO HyREX 125x gap, JP petchem Coolbrook 47x gap, KR petchem Electric Cracker INFINITE gap (zero effective price ÷ $75 MACC = undefined). This is the strongest formula-backed result for CAP Gap 3 to date. (3) **JP-KR GAP STABILIZING**: WoW the JP-KR effective-price gap is essentially zero ($0.55-1.39 GX vs $0.92 K-ETS). The TIMING of GX-ETS allocation matters far more than the headline floor — until autumn 2026 baselines publish, GX-ETS exerts no marginal incentive for JFE/Nippon EAF deployment despite the ¥4,300 ceiling theoretically exceeding scrap-EAF MACC. (4) **EU-ETS SOFTENING SIGNAL**: May 13 close €74.45 (-1.75% d/d) is first WoW softness since coal-cap-lift bounce; 6-mo avg holding €76.66; markets may be repricing 2026 ETS reform expectations downward. Watch May 29 TNAC publication for confirmation. (5) **CBAM PHASE-IN BARELY VISIBLE 2026**: At 2.5% phase-in × €75.36 = €1.88/tCO2 effective markup on EU-exposed steel/petchem exports — does NOT change CAP company effective price meaningfully in 2026. Only at full 2034 phase-in (with 30% default-value markup compounding) does CBAM become a binding effective-price hurdle. (6) **POLICY-PRICE DISCONNECT IS A FEATURE NOT A BUG (Gap 3 thesis update)**: Phase 4 retained 100% free allocation for carbon-leakage sectors — an explicit policy choice (carbon leakage protection) that mechanically prevents K-ETS from incentivizing transition tech for the very sectors CAP studies. The CAP Gap 3 finding is therefore not a price-discovery failure but a policy-design choice; CAP recommendation should pivot from 'raise K-ETS price' to 'tighten free-allocation share OR replace ETS exposure with mandatory CAPEX-efficiency benchmark'.</t>
        </is>
      </c>
      <c r="F26" s="5" t="inlineStr">
        <is>
          <t>1) Day 5 (Fri 2026-05-15) Brainstorm Synthesis: append Day 4 carbon-pricing findings to CAP_Brainstorm_Notes.docx — explicit (a) Toyofuku effective-price decomposition formula derivation; (b) 12-company effective-price matrix table; (c) policy-design pivot for Gap 3 ('100% free allocation = explicit policy choice, not market failure'); (d) link to LCOA v0.3 building block — effective price replaces nominal price as the carbon-cost input in LCOA. 2) Day 6 (Sat 2026-05-16) Collaborator tracking: (a) SBTi V2 final publication monitor; (b) ORF America Verma/Arkalji follow-up; (c) DIW DP series — check for follow-up to DP 2082 Mendelevitch/Hauenstein on cross-jurisdictional effective carbon price; (d) Coolbrook customer announcements; (e) **NEW**: monitor for Toyofuku et al. ADB Institute follow-up paper applying their formula to Korea/Japan steel specifically. 3) Day 7 (Sun 2026-05-17) Dashboard + Methodology Showcase Week 2 build: (a) rebuild CAP_Methodology_Showcase.html with Hyundai Steel as Case 2/12; (b) ADD to dashboard: **NEW 12-company effective-price bar chart (Toyofuku) vs MACC threshold horizontal-line overlay** — make Gap 3 visually unmistakable; (c) DIW upper-bound vs POSCO HyREX cross-jurisdictional gap chart; (d) Coolbrook/plasma/e-furnace 3-tech bracket petchem MACC; (e) 3-archetype BF timing comparison; (f) POSCO HyREX 3-phase decomposition. 4) Methodology flag: LCOA v0.3 should explicitly substitute Toyofuku Effective Price (not nominal) as the carbon-cost input — derives a far smaller carbon-cost contribution to LCOA than the typical 'use nominal ETS price' shortcut found in transition-finance frameworks. This is a CAP-specific methodological improvement vs TPI/CA100+/SBTi. 5) Watch list for Week 7: (a) Q2 CBAM price publication 2026-07-06 (will set Q2-Q4 markup baseline); (b) METI GX-ETS baseline publication (autumn 2026 — may slip further); (c) K-ETS KAU futures launch H2 2026 (KRX); (d) EU-ETS May 29 TNAC publication; (e) Korea NCC electrification 91T KRW CAPEX firmer detail.</t>
        </is>
      </c>
      <c r="G26" s="5" t="inlineStr">
        <is>
          <t>Completed (Day 4 Carbon Pricing &amp; Policy Update; Carbon_Price_Scenarios +1 row, +1 new Toyofuku_Effective_Price column; Weekly_Tracker +1 row).</t>
        </is>
      </c>
    </row>
    <row r="27" ht="409.6" customHeight="1">
      <c r="A27" s="5" t="inlineStr">
        <is>
          <t>Week 6 (Day 6)</t>
        </is>
      </c>
      <c r="B27" s="15" t="n">
        <v>46158</v>
      </c>
      <c r="C27" s="5" t="inlineStr">
        <is>
          <t>Day 6 Potential Collaborator &amp; Publication Tracking (Sat 2026-05-16, scheduled run). No new company CAPEX/emissions disclosure data this cycle (Day 6 = academic + NGO + conference focus). Carry-forward updates from Day 4: K-ETS KAU25 ~KRW17K, GX-ETS ¥1,700 binding floor 2026, EU ETS reference. Note: Day 5 (Fri 2026-05-15) Brainstorm Synthesis cycle 누락 — Day 6 brainstorm append에 Day 5 + Day 6 finding 통합 entry로 보완 처리. STEELWATCH 2026 SCORECARD 직접 확인 결과: 18사 전원 50/100 미만, **CAP 핵심 5사 모두 lower-tier ranked** (Hyundai Steel 21.2/100, Nippon Steel 16.8/100, HBIS 8.3/100, POSCO/JFE 점수 본 search 미명시 → 후속 PDF 다운로드 필요). ASIA PETCHEM RESTRUCTURING 정량: 한·중·일 13Mt ethylene capacity 2027까지 폐쇄 (일본 4개 cracker, 한국 MOTIE 2.7~3.7Mt 감축, 28% 수준). For Our Climate(KR) NCC electrification 정량: 25% capacity reduction + e-cracker → H2 cracker route 대비 KRW 128조원 절감. ASAHI KASEI MIZUSHIMA AMEC FY2030 폐쇄 + Mitsui Osaka 통합 plan 확정 — CAP Company_Tech_Mapping petchem 7사 asset retirement timing 즉시 업데이트 필요.</t>
        </is>
      </c>
      <c r="D27" s="5" t="inlineStr">
        <is>
          <t>8 new references added to CAP_Literature_References.xlsx (#137-#144, total now 144). 핵심 신규: **#137 Dietz·Hastreiter (GRI WP 446/CEPR DP 21441, 2026-04-28)** 'Corporate net zero targets: have they achieved anything?' — TPI Centre 핵심 reference, CAP의 transition framework effectiveness 비판과 정면 alignment. **#138 Hoffmann·Karplus·Pistorius (CMU, 2026-01)** Global BF dataset + open-source H-DRI cost framework — CAP middle layer asset-level dataset의 외부 cross-validation source. **#139 SteelWatch Corporate Scorecard 2026 (Mar 2026) 'The Transition Readiness Gap'** — 18사 전원 fail, POSCO·Hyundai·Nippon·HBIS lower-tier; CAP의 정량 cost-efficiency layer를 SteelWatch qualitative scoring에 추가하는 complementary positioning. **#140 Wagner et al. 2026 3-paper suite (TMEC June 2026, May 2026, Feb 2026)** — climate uncertainty × economic damage frame, CAP LCOA confidence interval 계산에 적용 가능. **#141 Hepburn INET Oxford 2026 forthcoming** — UK DESNZ Seventh Carbon Budget macroeconomic assessment, $12T global savings empirical modeling backs CAP Gap 1. **#142 Caldecott Oxford Sustainable Finance Group** — stranded assets framework의 founding scholar, CAP middle layer가 본 framework의 정량 implementation. **#143 Asia conference set 2026** (ICLCA Shanghai Oct, Ecosperity Singapore May 18-21 next week, APAC CCUS Melbourne Jul, Asia Carbon Capture KL just concluded). **#144 For Our Climate + S&amp;P + C&amp;EN petchem rationalization 2026** — Asia cracker shutdown timing × NCC electrification cost KRW 128조 절감 정량 anchor.</t>
        </is>
      </c>
      <c r="E27" s="5" t="inlineStr">
        <is>
          <t>여섯 high-salience CAP findings from Week 6 Day 6 (May 16 2026) collaborator·publication tracking: (1) **DIETZ TPI ENGAGEMENT TRIGGER** — Dietz가 corporate net-zero target effectiveness 사후 실증에 active engaged 상태로 2026-04-28 working paper 발표; CAP의 'CAPEX 정량 cost-efficiency layer' 제안서를 Dietz/Hastreiter에게 working paper 형태로 송부 권장 — TPI Centre future methodology iteration의 CAP layer integration 가능성 elicit. (2) **CMU INDUSTRIAL DECARBONIZATION INITIATIVE TIE** — Karplus·Pistorius·Hoffmann 2026-01 global BF dataset + open-source H-DRI cost framework가 CAP의 정확한 분석 영역과 align; Karplus가 CMU 3rd annual workshop co-chair (25%+ 글로벌 iron·steel production representative 모집) — CAP working paper presentation venue 5순위 후보. (3) **OXFORD SUSTAINABLE FINANCE GROUP — HIGHEST PRIORITY** — Caldecott이 founded한 'Stranded Assets Programme'(2012)의 후속 generation 핵심 연구가 CAP의 정확한 영역, 더불어 Hepburn(INET) + Caldecott(Smith) 같은 institutional cluster — joint engagement 가능; CAP working paper draft를 Oxford Sustainable Finance Group working paper series 제출 검토. (4) **STEELWATCH SCORECARD COMPLEMENTARY POSITIONING** — 본 NGO scorecard가 binary/qualitative 평가 위주 (coal dependency, green iron scale-up speed); CAP의 CAPEX-per-ton-CO2 정량 layer가 SteelWatch 2027 iteration에 정량 입력 자료로 송부 가능 — NGO collaborator engagement. (5) **2026-10 ICLCA SHANGHAI = CAP DEBUT VENUE** — Greener Manufacturing &amp; Industrial Decarbonization track이 CAP의 정확한 영역, Korean/Japanese 분석을 Chinese counterpart(Baosteel·HBIS·Sinopec)로 확장하는 collaborator engagement 가능 venue; call-for-presentation 마감 일자 5-7월 추정, 즉시 확인. (6) **ASIA PETCHEM ASSET STRANDING WAVE** — 일본 4 cracker 2027-28 shutdown + 한국 MOTIE 2.7~3.7Mt 감축 + Asahi Kasei AMEC Mizushima FY2030 폐쇄 = '환경 risk → 자산 premature devaluation' Caldecott stranded-assets framework의 정확한 실증 사례; CAP Petrochem MACC + Company_Tech_Mapping의 cracker retirement timing layer 추가 시급.</t>
        </is>
      </c>
      <c r="F27" s="5" t="inlineStr">
        <is>
          <t>1) Day 7 (Sun 2026-05-17) Dashboard &amp; Visualization Update: (a) CAP_MACC_Dashboard.html에 SteelWatch 2026 scorecard score(Hyundai 21.2, Nippon 16.8) annotation 추가 — CAP의 정량 cost-efficiency scoring과 본 qualitative score 비교 visualization; (b) Asia petchem cracker shutdown timing line chart 추가 (Maruzen·Idemitsu·ENEOS·AMEC·Daesan·Yeosu) — CAP middle layer asset depreciation timing visualization; (c) Day 6 finding 통합 dashboard refresh. 2) Week 7 Day 1 (Mon 2026-05-18) priority: (i) SteelWatch Corporate Scorecard 2026 PDF 직접 다운로드 → POSCO·JFE 정확한 점수 + 18사 sub-indicator score 추출, CAP의 Framework_Analysis sheet에 SteelWatch 행 추가; (ii) Ecosperity Week 2026 (5-18~21 Singapore) keynote livestream 시청 후 핵심 발견을 Day 1 data enhancement entry에 통합; (iii) Dietz/Hastreiter GRI WP 446 PDF 정독 → CAP working paper intro 본 reference 인용 framing draft 작성. 3) Week 7 Day 2 (Tue 2026-05-19) priority: 2026 EU Cleantech Conference Brussels 발표 자료 cross-reference + Carbon Capture APAC 2026 (Jul 8-9 Melbourne) presentation submission 일정 확인. 4) Collaborator engagement letter draft (Week 8 목표): (Caldecott + Hepburn Oxford), (Dietz + Hastreiter LSE), (Karplus + Pistorius CMU), (Wagner CBS) — CAP working paper 1-page abstract + 정량 LCOA layer 제안서 동봉.</t>
        </is>
      </c>
      <c r="G27" s="5" t="inlineStr">
        <is>
          <t>Completed (Day 6 Potential Collaborator &amp; Publication Tracking; Literature_References +8 refs #137-144 covering Dietz·Karplus·Caldecott·Hepburn·Wagner researcher pubs + SteelWatch 2026 + ICLCA/Ecosperity/APAC CCUS conf + Asia petchem rationalization. Brainstorm notes 통합 entry 진행 중)</t>
        </is>
      </c>
    </row>
    <row r="28">
      <c r="A28" t="inlineStr">
        <is>
          <t>Week 7 (Day 7)</t>
        </is>
      </c>
      <c r="B28" t="inlineStr">
        <is>
          <t>2026-05-17</t>
        </is>
      </c>
      <c r="C28" t="inlineStr">
        <is>
          <t>Day 7 Dashboard &amp; Visualization Update (Sun 2026-05-17, scheduled run). CAP_MACC_Dashboard.html v3 build: (a) POSCO HyREX CAPEX 13.3 → $14.7B 일관성 보정 — Section 4 막대차트 + Section 6 4-pin map pin-meta + Section 4 $M/Mtpa 4,750 → 5,250로 자동 갱신; Korea domestic steel-decarb 분모 14.4 → 15.8B → KR/JP 비율 ($9.25B) 1.7x. (b) NEW Section 9 — SteelWatch 2026 Scorecard × CAP $/tCO₂ 'Expensive Virtue' 2D scatter (log Y-axis): SSAB 46.2 / thyssenkrupp 41.9 / Tata 27.5 / JFE 23.4 ($154/tCO₂) / POSCO 21.9 ($1,885/tCO₂) / Hyundai 21.2 ($127/tCO₂) / Kobe ~18 (est, $219/tCO₂) / Nippon 16.8 ($267/tCO₂). (c) NEW Section 10 — Toyofuku Effective Carbon Price (12개사) vs next-tier tech MACC floor 로그-축 bar+line: POSCO/Hyundai Eff $0.92 vs HyREX $115 = 125× / Nippon-JFE-Kobe Eff $0.55-1.39 vs Scrap EAF / KR petchem Eff ≈ $0 vs e-NCC $75 = ∞ / JP petchem Eff $0.55-1.39 vs Coolbrook $65 = 47-118×. (d) NEW Section 11 — Asia petchem cracker shutdown timing Gantt (Maruzen 490kt / Idemitsu Chiba 374kt / ENEOS Kawasaki 460kt / AMEC Mizushima FY2030 / Lotte-HD Hyundai Daesan 1.1Mt 3yr / YNCC No.2 915kt + No.3 470kt / Mitsui Osaka 통합 / Mitsubishi Mizushima-Kashima). (e) Section 0 'What changed' v3 block 추가; Section 0a 'Previous refresh log' (Week 5 Day 7 build notes 보존). (f) Footer build date 2026-05-10 → 2026-05-17 갱신. Backup saved: CAP_MACC_Dashboard_pre2026-05-17.html.bak (44,684 bytes); 신규 build 62,746 bytes (+40% expansion).</t>
        </is>
      </c>
      <c r="D28" t="inlineStr">
        <is>
          <t>No new academic literature this entry (Day 7 = dashboard focus). Cross-referenced existing #97/#139 (SteelWatch Corporate Scorecard 2026 — POSCO 21.9 정확 점수 SteelWatch web 확인; JFE 23.4 추가 확인; Tata 27.5 benchmark 추가), #136 (Toyofuku ADB Institute 2025 effective-price formula), #108 (Asia petchem stranding wave Week 4 Day 6 lit batch), #107 (LSE Grantham TPI event), #119 (TPI Centre Mar 2026 release calendar), #120 (IEEFA Cribb Jan 2026 Whyalla), #121 (He-Jenkins 2026 EES cluster).</t>
        </is>
      </c>
      <c r="E28" t="inlineStr">
        <is>
          <t>다섯 high-salience CAP findings from Week 7 Day 7 dashboard refresh: (1) **POSCO CAPEX RE-CALIBRATION RESHAPES KR-JP DENOMINATOR** — $14.7B / 2.8 Mtpa = $5,250M/Mtpa (vs prior $4,750). KR domestic steel-decarb total 15.8B vs JP 9.25B = 1.7× — Korea is now the dominant steel-decarb CAPEX deployer in Asia even excluding US Louisiana. (2) **EXPENSIVE-VIRTUE 2D MATRIX = CAP'S SHARPEST FRAMING TO DATE** — SteelWatch readiness score and CAP $/tCO₂ are &lt;em&gt;uncorrelated&lt;/em&gt; in the CAP 5-company cohort: JFE (23.4 / $154) and POSCO (21.9 / $1,885) sit at virtually the same SteelWatch x-position but 12× apart on CAP y-axis. This is the visual that demonstrates Gap 1 in a single chart — no existing NGO/framework score reveals this spread. (3) **TOYOFUKU EFFECTIVE-PRICE CHART CONVERTS GAP 3 INTO A SINGLE-PANEL VISUAL** — All 12 CAP companies sit between $0–$1.39 effective price; relevant next-tier MACC floors sit between $0.3 (Scrap EAF) and $115 (HyREX). Log-scale view makes the 47-125× gap visually unmistakable. (4) **ASIA PETCHEM CRACKER SHUTDOWN WAVE = MIDDLE-LAYER ASSET-DEPRECIATION CASE STUDY** — 8 distinct asset retirements within 2026-2030 across JP (Maruzen/Idemitsu/ENEOS/AMEC/Mitsui/Mitsubishi) + KR (Lotte-HD Hyundai Daesan + YNCC No.2/No.3). Korea path = policy-coordinated (KFTC + 2.1T KRW fiscal package); Japan path = market-driven JV restructuring. Caldecott stranded-assets framework × CAP per-tCO₂ next-tier cost = direct case-study material for Oxford Sustainable Finance Group engagement letter. (5) **DASHBOARD v3 INTEGRATION COMPLETE** — 11 sections (was 8), all 8 chart canvases load cleanly, 137/137 div balance, 2/2 script balance, file size 62.7KB (vs 44.7KB Week 5 v2). Dashboard now visually demonstrates all 5 CAP Gaps in single document: Gap 1 (Section 4, 9), Gap 2 (Section 1, 5), Gap 3 (Section 3, 10), Gap 4 (Section 5 cluster vs Section 1 standalone), Gap 5 (Section 6 POSCO 4-pin + Section 11 cracker timing).</t>
        </is>
      </c>
      <c r="F28" t="inlineStr">
        <is>
          <t>1) Week 7 Day 1 (Mon 2026-05-18 — Data Enhancement) priority: (i) SteelWatch Corporate Scorecard 2026 PDF 직접 다운로드 → POSCO 21.9 sub-indicator 분해 + Kobe Steel 정확한 SteelWatch 점수 확보 (현재 ~18 추정치 사용 중), 18사 sub-indicator score 추출, CAP Framework_Analysis sheet에 SteelWatch 행 추가. (ii) Ecosperity Week 2026 (5/18-21 Singapore) keynote livestream 시청 후 핵심 발견을 Day 1 data enhancement entry에 통합. (iii) Dietz/Hastreiter GRI WP 446 PDF 정독 → CAP working paper intro 본 reference 인용 framing draft 작성. 2) Week 7 Day 2 (Tue 2026-05-19 — Lit Search) priority: 2026 EU Cleantech Conference Brussels 발표 자료 cross-reference + Carbon Capture APAC 2026 (Jul 8-9 Melbourne) presentation submission 일정 확인. 3) Week 7 Day 3 (Wed 2026-05-20 — MACC) priority: Korean YNCC consolidation 후 잔존 cracker 용량 × 신규 e-NCC FID 시기 mapping → Tech_Portfolio_Split sheet에 4 KR petchem 회사 row 갱신. 4) Week 7 Day 4 (Thu 2026-05-21 — Carbon Pricing): K-ETS KAU25 fresh OPIS print 확보; KRX KAU futures launch H2 2026 timeline 갱신; EU-ETS May 29 TNAC publication monitor; Q2 CBAM price publication 2026-07-06 schedule. 5) Methodology Showcase Week 3 (Sun 2026-05-24): rebuild CAP_Methodology_Showcase.html with Nippon Steel as Case 3/12 — LCOA v0.2 6항 step-by-step + 4-framework benchmark + 5-Gap diagnosis. 6) Week 8 collaborator engagement letter draft target: (Caldecott + Hepburn Oxford joint), (Dietz + Hastreiter LSE), (Karplus + Pistorius CMU), (Wagner CBS) — Section 9 (Expensive Virtue) + Section 11 (cracker timing) 두 chart를 attachment로 동봉.</t>
        </is>
      </c>
      <c r="G28" t="inlineStr">
        <is>
          <t>Completed (Day 7 Dashboard &amp; Visualization Update; CAP_MACC_Dashboard.html v3 build with 3 NEW sections — Section 9 SteelWatch×CAP scatter, Section 10 Toyofuku effective-price, Section 11 Asia cracker shutdown Gantt; POSCO CAPEX $13.3B→$14.7B recalibration propagated)</t>
        </is>
      </c>
    </row>
    <row r="29">
      <c r="A29" t="inlineStr">
        <is>
          <t>Week 7 (Day 1)</t>
        </is>
      </c>
      <c r="B29" s="16" t="n">
        <v>46160</v>
      </c>
      <c r="C29" t="inlineStr">
        <is>
          <t>Day 1 Data Enhancement (Mon 2026-05-18, scheduled run). CAP_Company_Data.xlsx — 7 cell-level appends across Steel_Companies + Petrochemical_Companies + Notes-1 Week-7 summary block. STEEL: (a) POSCO row Data_Source — SteelWatch Corporate Scorecard 2026 = 21.9/100 formally anchored (vs SSAB 46.2 top, avg 27, 18-co universe). (b) Hyundai Steel row Data_Source — Weekly Citizen 2026-05-11 Sierra Club LDEQ-records lawsuit procedural escalation; HPLS pre-construction proceeds, Q3 2026 full-construction start reaffirmed. (c) Nippon Steel row Green_CAPEX + Key_Technology + Data_Source — FY2025 full-year results 2026-05-13: rev JPY 10,063.2B (+15.7% YoY), business profit JPY 514.1B (-24.8%), net profit JPY 17.1B (-95.1%), JPY 271.2B US-Steel-merger restructuring losses; carbon-neutral CAPEX plan reaffirmed JPY 868.7B; BF H2 pilot 45% CO2 cut → commercial demo at Kimitsu FY2026; Hirohata 2nd EAF by 2030; SteelWatch 2026 = 16.8/100 (lowest of CAP-5). (d) JFE Steel row Data_Source — SteelWatch 2026 = 23.4/100. (e) Kobe Steel row Data_Source — SteelWatch 2026 score not separately disclosed in returned coverage; flagged for direct PDF retrieval next cycle. PETROCHEM: (f) Mitsubishi Chemical + Mitsui Chemicals + Asahi Kasei rows Green_CAPEX + Data_Source — Western Japan ethylene JV EQUITY SPLIT FINALISED 2026-05-12: Mitsui 45% / Mitsubishi 45% / Asahi 10%; Osaka Petrochemical Industries Takaishi = surviving asset post FY2030 AMEC-Mizushima shutdown. (g) Asahi Kasei row Green_CAPEX + Data_Source — SEPARATE 2026-05-12 announcement: DISCONTINUATION at Mizushima of SM + HDPE + LDPE + acrylonitrile + PC-diol by FY2030 (5 product lines); 4-yr transition window; structural East-Asian competitiveness loss + demand decline cited. (h) Hanwha Solutions row Data_Source — Rights offering REVISED + DELAYED to Q3 2026: third amended prospectus 2026-05-14; new schedule price 07-07 / sub 07-10–13 / public 07-15–16 / listing 07-31; KRW 1.8144T total = KRW 907.7B facility CAPEX + KRW 906.7B debt repayment (~50/50 split). (i) Lotte Chemical row Data_Source — KFTC YNCC merger preliminary review continuing; no formal approval published as of 2026-05-18. (j) SK Geocentric row Data_Source — ethane pivot date precision: SKGC + SK Gas business agreement signed 2025-11-20 (not 2026-Q2); SK Gas to build Ulsan ethane terminal; SKGC Ulsan NCC 680kt ethylene + 340kt propylene baseline. Notes-1 cell appended with full WEEK 7 Day 1 narrative block (8 numbered items).</t>
        </is>
      </c>
      <c r="D29" t="inlineStr">
        <is>
          <t>No new academic literature this entry (Day 1 = company data focus). Re-anchored existing references: #97/#139 (SteelWatch Corporate Scorecard 2026 with confirmed company scores POSCO 21.9 / JFE 23.4 / Nippon Steel 16.8 / Tata 27.5 / ArcelorMittal 33.5 / JSW 29.6 / SSAB 46.2 / thyssenkrupp 41.9 / avg 27 / 18-co universe). Cross-checked Nippon Steel FY2025 disclosure 2026-05-13 against Steel_MACC carbon-neutral CAPEX assumptions — JPY 868.7B plan unchanged from existing literature anchor. Cross-checked Asahi Kasei Mizushima exit announcement against Petrochem_MACC asset-life assumptions — provides empirical confirmation for the 'cracker early-retirement' MACC pathway (currently modeled as theoretical option). New secondary-source links logged: Nippon Steel IR 2026-05-13 PDF (https://www.nipponsteel.com/en/ir/library/settlement/pdf/20260513_200.pdf); Mitsui Chemicals PR 2026-05-12 (jp.mitsuichemicals.com/en/release/2026/2026_0512_2/); Asahi Kasei PR 2026-05-12 (asahi-kasei.com/news/2026/e260512_3.html); ICIS Asahi Mizushima shutdown 2026-05-12; SEDaily Hanwha rights offering revisions 2026-05-11/12/14/15; Weekly Citizen HPLS lawsuit 2026-05-11.</t>
        </is>
      </c>
      <c r="E29" t="inlineStr">
        <is>
          <t>여섯 high-salience CAP findings from Week 7 Day 1 (May 18 2026) data enhancement: (1) **NIPPON STEEL FY2025 NET-PROFIT -95% COLLAPSE = GAP 6 'FINANCIAL CONSTRAINT' EVIDENCE IN JAPAN.** JPY 17.1B net profit (vs JPY 350B prior) coincides with Yawata 2Mtpa Consteel EAF + Hirohata 2nd EAF deployment phase + Kimitsu BF H2 demo start (FY2026). Pattern parallels Hyundai Steel Q1 2026 OP -66% vs consensus (Apr 24) — Gap 6 'profitable swing is fragile while big-ticket transition CAPEX absorbs cash' framing now has BOTH a Korean (Hyundai) AND Japanese (Nippon) anchor case. (2) **ASAHI KASEI MIZUSHIMA 5-PRODUCT-LINE EXIT = CAP'S CLEANEST REAL-TIME ASSET-STRANDING DATAPOINT.** SM + HDPE + LDPE + AN + PC-diol all discontinued by FY2030 — 4-yr early-retirement window — provides the empirical mirror image of POSCO Gwangyang BF reline LIFETIME-EXTENSION (+15yr, ~137 MtCO2). CAP middle-layer narrative now has both directional poles documented: STEEL = asset-life EXTENSION via reline lock-in; PETCHEM (Japanese side) = asset-life COMPRESSION via early-retirement. Methodologically: this validates CAP's argument that frameworks ignoring asset-timing (Gap 5) cannot distinguish between these two CAPEX vectors. (3) **HANWHA SOLUTIONS RIGHTS OFFERING ~50/50 CAPEX/DEBT SPLIT = GAP 6 MARQUEE EVIDENCE.** KRW 1.8144T headline 'transition' capital raise = KRW 907.7B facility CAPEX + KRW 906.7B debt repayment. Only ~50% of nominal 'green capital' flows to actual transition CAPEX — the cleanest single-issuer illustration in CAP's universe that headline green-capital figures overstate decarbonization CAPEX. Combined with the FSS forcing three rounds of prospectus amendment (suggesting disclosure-quality concerns about the original framing), this is a high-credibility datapoint for CAP's CAPEX-efficiency scoring framework. (4) **STEELWATCH 2026 FINAL SCORES — CAP'S 4 NAMED-AND-CONFIRMED JP/KR TARGETS ALL BELOW 27/100 AVG.** POSCO 21.9 / Nippon Steel 16.8 / JFE 23.4 / (Hyundai grouped at bottom; Kobe still unconfirmed). CAP's Gap 5 'transition readiness gap' framing is now anchored to a third-party-published quantitative benchmark — strengthens cross-reference scaffolding for any future CAP-SteelWatch comparison/validation table. (5) **JV EQUITY 45/45/10 ASYMMETRY = ASAHI KASEI EFFECTIVELY EXITING UPSTREAM CRACKER OWNERSHIP.** Mitsui + Mitsubishi together = 90% of Western Japan ethylene JV; Asahi 10% only. Asahi Kasei's Mizushima exit (point 2) + 10% JV equity = de-facto exit from upstream commodity-cracker ownership in Japan. Strategic significance: Asahi pivots toward downstream specialty/hydrogen/electrolysis, leaving Mitsui + Mitsubishi as the surviving upstream-cracker duopoly in western Japan. CAP implication: Mitsui/Mitsubishi asset-life EXTENSION at Osaka Takaishi (cracker absorbs Mizushima displaced volume); Asahi asset-life COMPRESSION (de-facto exit). (6) **K-ETS KAU PRICE DATA GAP (MAY 2026) — NEEDS DIRECT KRX PORTAL CHECK NEXT CYCLE.** No fresh OPIS print captured this week vs Day 4 (2026-05-14) refresh; carry-forward KAU25 ~KRW 17,000 / $11.5 may be stale by Day 4 next week.</t>
        </is>
      </c>
      <c r="F29" t="inlineStr">
        <is>
          <t>1) Day 2 (Tue 2026-05-19) Literature Search: (a) Search for Nippon Steel FY2025 IR PDF (https://www.nipponsteel.com/en/ir/library/settlement/pdf/20260513_200.pdf) — extract carbon-neutral CAPEX time-series and add to Literature_References with Gap-5/Gap-6 tagging; (b) Search Asahi Kasei Mizushima exit primary-source PR + Q1 FY2026 commentary on financial-impact provisioning of the SM/HDPE/LDPE/AN/PC-diol discontinuation (key for CAP's 'real-time asset-stranding' case study writeup); (c) Search for Hanwha Solutions third-amended-prospectus filing for the full use-of-proceeds breakdown by facility (i.e. which CAPEX projects of the KRW 907.7B) — likely on FSS DART portal; (d) Search for SteelWatch Corporate Scorecard 2026 FULL PDF (likely steelwatch.org/wp-content/uploads/2026/...) to extract Kobe Steel score + Hyundai Steel score + 5-category sub-indicator breakdown for the four CAP-confirmed scores; (e) Re-anchor Bouckaert IEA Industrial decarbonization tracker 2026 (if published) — recurring CAP cross-reference. 2) Day 3 (Wed 2026-05-20) MACC Refinement: incorporate Nippon Steel FY2025 disclosure into Steel_MACC + Tech_Portfolio_Split + BF_Relining_Asset_Life rows for Nippon Steel (carbon-neutral CAPEX JPY 868.7B / Yawata 2Mtpa EAF / Hirohata 2nd EAF by 2030 / Kimitsu BF H2 demo FY2026); open new Petrochem_MACC row for 'cracker early-retirement' pathway using Asahi Mizushima as anchor case. 3) Day 4 (Thu 2026-05-21) Carbon Pricing: refresh K-ETS KAU25 spot from KRX portal (priority — last firm print Apr 26 2026); check GX-ETS Phase-2 May 2026 trading volume; verify CBAM Q2 2026 certificate price publication 2026-07-06.</t>
        </is>
      </c>
      <c r="G29" t="inlineStr">
        <is>
          <t>Completed (Day 1 Data Enhancement; CAP_Company_Data.xlsx 10 cell-level appends across Steel/Petrochem + Notes Week-7 narrative block; Weekly_Tracker +1 row; 1 deferred item flagged: KAU price refresh + Kobe Steel SteelWatch score).</t>
        </is>
      </c>
    </row>
    <row r="30" ht="409.6" customHeight="1">
      <c r="A30" s="5" t="inlineStr">
        <is>
          <t>Week 7 (Day 2)</t>
        </is>
      </c>
      <c r="B30" s="17" t="n">
        <v>46161</v>
      </c>
      <c r="C30" s="5" t="inlineStr">
        <is>
          <t>No new company data this entry (Day 2 = Literature Search focus). Carry forward from Week 7 Day 1 (Mon 2026-05-18): Nippon Steel FY2025 net profit -95% (JPY 17.1B vs prior JPY 350B), Asahi Kasei Mizushima 5-product-line exit by FY2030, Hanwha Solutions KRW 1.8144T rights offering Q3 2026, SteelWatch 2026 Scorecard scores (POSCO 21.9 / NSC 16.8 / JFE 23.4). Note: today's literature haul provides PRIMARY-SOURCE PDFs for 4 of those Day 1 carry-forward items (#145 NSC 2030 plan / #146 Asahi cluster / #147 Hanwha prospectus / #153 SteelWatch CCA pre-Scorecard) → Day 3 MACC refinement (Wed 2026-05-20) can now ingest primary-source CAPEX numbers directly.</t>
        </is>
      </c>
      <c r="D30" s="5" t="inlineStr">
        <is>
          <t>10 new references added to CAP_Literature_References.xlsx (#145-#154, total now 154). 핵심 신규: (A) **#145 Nippon Steel 2030 Medium- to Long-term Management Plan (2025-12-12) + Q3/Q4 FY2025 settlement PDFs** — Japanese steel CAPEX time-series primary-source anchor (Yawata 2Mtpa Consteel EAF + Hirohata 2nd EAF + Kimitsu BF H2 demo + Hasaki DRI test 2026); USS $11B "carbon-neutral CAPEX synergy" overstatement evidence. (B) **#146 Asahi Kasei Mizushima Exit primary-source 5-channel cluster (2026-05-12 Kudo press conf)** — SM/LDPE/HDPE/200ktpa ACN/PC-diol discontinuation by FY2030, Japan ethylene utilization 70% × 44개월, Tongsuh Korea가 ACN supply 흡수, bioethanol→olefins pivot. (C) **#147 Hanwha Solutions Third Amended Prospectus (2026-05-14 DART)** — KRW 907.7B 시설 CAPEX + KRW 906.7B 차입금 상환 ≈50/50 split (headline green CAPEX overstatement 단일 최대 evidence), FSS 3차례 amendment 요구, KRW 2.4T → KRW 1.8T -25% size 축소. (D) **#148 Gunawan·Luo·Greig·Larson 2026 Env. Sci. Tech.** — Princeton Net-Zero America team의 basic chemicals LCOA peer-reviewed paper(2,600+ facility × 4 region × 3 scenario, $1T+ cumulative abatement CAPEX) → **CAP LCOA methodology의 ES&amp;T peer-reviewed precedent, citation #1 후보**. (E) **#149 Yan et al. 2026 Energy Research &amp; Social Science "Stranded futures?"** — JP/KR 포함 6-economy × 5-sector stranded-asset quantification, chemicals/refineries highest avg risk vs steel/electricity greatest total value at risk → CAP middle-layer 2-axis framing의 empirical anchor. (F) **#150 TPI Centre 2026-04 publication** — chemicals sector addition + 2030 short-term alignment year + 11 industries × 60 sectors → CAP Gap 1 framework critique의 most recent reference. (G) **#151 Eco-Business/Carbon Pulse/ICAP K-ETS Phase 4** — KAU25 KRW 8,580→12,750→~17,000 trajectory, Phase 4 cap 2.5373 Bt, steel/petchem 100% free allocation 유지. (H) **#152 Transition Asia 2026 China + Japan green steel transition pair** — CAPEX subsidy 가장 cost-effective, GX-ETS 100K threshold EAF redirect, green premium &lt;10% provinces. (I) **#153 SteelWatch Nippon Steel CCA 2025 Update** — 2026 Scorecard의 NSC 16.8 점수 선행 deep-dive, issuer-side vs NGO-side evidence pair 형성. (J) **#154 MSCI ESG + Carbon Direct + Carbon Pulse GX-ETS Phase 2** — Japan FY2026 ETS 100K threshold + floor/ceiling price corridor, Korea KAU 변동성 vs Japan corridor 안정성 비교 anchor.</t>
        </is>
      </c>
      <c r="E30" s="5" t="inlineStr">
        <is>
          <t>여섯 high-salience CAP findings from Week 7 Day 2 (May 19 2026) literature search: (1) **LCOA METHODOLOGY ES&amp;T PEER-REVIEWED PRECEDENT 확보 (#148 Gunawan/Luo/Greig/Larson 2026)** — Princeton Net-Zero America team이 olefins·aromatics·methanol·ammonia·chlor-alkali 2,600+ facility × scope 1 LCOA × 3 scenario × 4 region 정확히 CAP working paper의 methodology와 동일 framework로 ES&amp;T peer-review 통과. CAP working paper에서 "LCOA-based facility-resolution assessment is published peer-reviewed methodology" 정당화 가능 → 1순위 citation. CAP의 Korean/Japanese petchem 7-company × facility-resolution 분석은 이 paper의 East-Asia region extension으로 positioning 가능. (2) **JP/KR STRANDED-ASSET RISK ERSS PEER-REVIEWED EVIDENCE 확보 (#149 Yan et al. 2026)** — 6-economy(JP/KR/EU/US/CA/AU) × 5-sector cross-section에서 "chemicals/refineries highest avg risk vs steel/electricity greatest total value at risk under accelerated policy" 결론은 CAP middle-layer 2-axis framing(STEEL=life extension via reline / PETCHEM=life compression via early-retirement)의 quantitative empirical anchor 제공. Asahi Mizushima #146(chemicals high-risk Japan 사례) + POSCO #145 Korean equiv(steel total-value-at-risk) 두 directional pole이 ERSS peer-reviewed evidence와 정렬. (3) **HEADLINE GREEN-CAPEX OVERSTATEMENT 패턴이 JAPAN-KOREA 양국 corporate-level 사례에서 동시 확인 (#145 NSC USS $11B + #147 Hanwha 50/50 split)** — Nippon Steel가 USS acquisition $11B를 "carbon-neutral CAPEX 확장"으로 framing하지만 USS BF-BOF asset base는 short-term carbon-intensive; Hanwha Solutions 1.8T rights issue 50%만 abatement-CAPEX. CAP의 "Green CAPEX Discount Factor" methodology(actual-abatement-CAPEX ÷ headline-CAPEX 비율) 가 Korean AND Japanese 양국 marquee 사례에서 동시 정당화 → CAP의 LCOA 식에 새 항목 GCDF(Green CAPEX Discount Factor) 추가 후보. (4) **TPI CHEMICALS SECTOR 2026 추가 = CAP의 PETCHEM ANALYSIS TIMING ALIGNMENT (#150 TPI Centre 2026-04)** — TPI가 처음으로 chemicals를 Carbon Performance assessment에 포함하는 시점이 CAP Korean/Japanese petchem 7-company analysis 시점과 정렬 → CAP working paper에서 "TPI chemicals 신규 coverage에 CAPEX cost-efficiency 통합 결여" 비판의 timeliness 극대화; Dietz·Hastreiter #137 사후평가와 TPI 신규 sector 양방향 critique 가능. (5) **K-ETS PHASE 4 + STEEL/PETCHEM 100% FREE ALLOCATION 유지 = CAP'S "EFFECTIVE CARBON PRICE" GAP 확정 (#151 K-ETS Phase 4)** — KAU25 가격이 8월 KRW 8,580 → 2월 12,750 → 5월 ~17,000으로 6개월간 ~2배 jump하지만 CAP 핵심 target sector 5개(steel/non-ferrous/petchem/cement/semicon)은 100% free allocation 유지 → effective carbon price ≪ nominal price gap을 K-ETS Phase 4 (2026-2030) 전체 기간 quantify 가능. Toyofuku #136 effective-price methodology + GX-ETS floor/ceiling #154와 cross-reference → CAP의 "5국가 effective carbon price 정량 비교 table" 완성 가능(KR/JP/EU/US/CN). (6) **CAP LITERATURE BASE 154 REFS 도달 + GAP COVERAGE 균형** — Gap 1(framework critique) 17 refs(추가 #145 #147 #148 #150 #153), Gap 2(MACC) 9 refs(추가 #145 #146 #148 #149 #152), Gap 3(carbon pricing) 7 refs(추가 #147 #151 #154), Gap 4(sector benchmark) 12 refs(추가 #148 #150 #152 #153 #154), Gap 5(asset timing) 11 refs(추가 #145 #146 #147 #149 #154), Gap 6(financial constraint) 4 refs(추가 #145 #147). Gap 6 financial-constraint stream은 #145 NSC -95% net profit + #147 Hanwha 50/50 split + Hyundai Q1 -66%(Day 1 카르드 forward)로 3-anchor 형성 → CAP의 Gap 6 신규 추가 (이전 5-gap framework이 6-gap framework로 확장 가능 검토).</t>
        </is>
      </c>
      <c r="F30" s="5" t="inlineStr">
        <is>
          <t>1) Day 3 (Wed 2026-05-20) MACC Analysis Refinement: (a) **#145 NSC 2030 plan primary-source CAPEX numbers**를 Steel_MACC sheet의 Nippon Steel row에 직접 ingest — Yawata 2Mtpa Consteel EAF (operational, $X), Hirohata 2nd EAF (by 2030), Kimitsu BF H2 demo (FY2026 start), Hasaki DRI test (2026) 각각 별 CAPEX line 분리; Tech_Portfolio_Split sheet의 NSC row를 single-tech 가정 → multi-technology breakdown으로 갱신. (b) **#146 Asahi Mizushima primary-source asset-life data**를 BF_Relining_Asset_Life sheet에 petchem 등가 sheet 신설하거나 expand → "Cracker_Early_Retirement_Asset_Life" 신규 column 추가 (Mizushima 2030 shutdown announced; remaining-useful-life 시점 추정). Petrochem_MACC sheet에 "Bio-NCC (bioethanol→olefins, Asahi 2030+)" new row 추가 후보. (c) **#147 Hanwha 907.7B 시설 CAPEX use-of-proceeds breakdown** (해당 prospectus DART 직접 확인 필요): Q3 2026 payment 이후 facility-by-facility CAPEX allocation 가능 → Company_Tech_Mapping sheet의 Hanwha row에 multi-facility CAPEX line 추가. 2) Day 3 (Wed 2026-05-20) LCOA methodology framework v0.3 update — **#148 Gunawan ES&amp;T paper의 식**(LCOA = sum of discounted CAPEX + OPEX delta) × **CAP의 Green CAPEX Discount Factor (GCDF)** 신규 항(#145·#147 marquee evidence 기반) 통합 → v0.3 formal definition. CAP_Brainstorm_Notes.docx의 Day 5 brainstorm synthesis(Week 7 Day 5 Fri 2026-05-22) appendix에 v0.3 식 추가 예정. 3) Day 4 (Thu 2026-05-21) Carbon Pricing: (a) #151 K-ETS Phase 4 KAU25 KRW 8,580→12,750→~17,000 trajectory를 Carbon_Price_Scenarios sheet의 KR_KAU price time-series에 추가 row; (b) #154 GX-ETS floor/ceiling price corridor가 발표되면 Carbon_Price_Scenarios sheet JP_GX price scenario에 floor/ceiling column 신설; (c) Toyofuku #136 effective-price × 100% free allocation #151 결합하여 KR steel/petchem 5-sector "effective carbon price" 정량 계산 시도. 4) Day 5 (Fri 2026-05-22) Brainstorm Synthesis: (a) **5-Gap framework → 6-Gap framework 확장** 검토 (Gap 6 "financial constraint × CAPEX absorptive capacity") — NSC -95% + Hanwha 50/50 + Hyundai -66% 3-anchor 정당화; (b) **CAP의 STEEL(life extension) ↔ PETCHEM(life compression) 2-axis directional asymmetry**를 #149 ERSS peer-reviewed evidence와 정렬한 working paper Section 4 figure draft (X-axis: asset-life vector ±yr, Y-axis: cumulative emissions impact MtCO2e; 12-company plot). 5) Day 6 (Sat 2026-05-23) Collaborator: (a) **Princeton Net-Zero America team (Gunawan·Luo·Greig·Larson)을 신규 collaborator universe에 추가** — Caldecott·Hepburn·Dietz·Karplus·Wagner·Jenkins 6인 기존 + Larson·Greig 2인 = 8인 watchlist; (b) Larson·Greig 후속 ES&amp;T paper 또는 Asia extension paper 모니터링; (c) 2026-Q3-Q4 chemicals decarbonization workshop venue 후보 추가 검토. 6) Day 7 (Sun 2026-05-24) Dashboard: (a) CAP_MACC_Dashboard.html에 #149 ERSS "stranded futures?" cross-sector evidence integration (5-sector × JP/KR risk table); (b) #146 Asahi Mizushima asset-stranding visualization (POSCO BF reline lifetime-extension와 mirror).</t>
        </is>
      </c>
      <c r="G30" s="5" t="inlineStr">
        <is>
          <t>Completed (Day 2 Literature Search; 10 new refs #145-#154 covering NSC 2030 plan / Asahi Mizushima / Hanwha prospectus / Gunawan ES&amp;T LCOA / Yan ERSS stranded / TPI 2026 chemicals / K-ETS Phase 4 / Transition Asia 2026 / SteelWatch NSC CCA / GX-ETS Phase 2; total Lit base 144 → 154 refs)</t>
        </is>
      </c>
    </row>
    <row r="31">
      <c r="A31" t="inlineStr">
        <is>
          <t>Week 7 (Day 3)</t>
        </is>
      </c>
      <c r="B31" t="inlineStr">
        <is>
          <t>2026-05-20</t>
        </is>
      </c>
      <c r="C31" t="inlineStr">
        <is>
          <t>Day 3 MACC Analysis Refinement (Wed 2026-05-20, scheduled run). Tech_Portfolio_Split: +7 rows — (a) Nippon Steel multi-tech decomposition per #145 (Dec 12 2025 2030 plan): Kimitsu BF No.2 H2 demo (FY2026 commencement) ~$0.4B / Hasaki DRI test plant 2026 ~$0.15B placeholder / USS $11B commitment (Gary Works BF14 reline → Gap 5 lock-in) / NSC group ¥6T ($40B) 2030-plan total reconciliation (¥2T Japan + ¥4T overseas; abatement-CAPEX / headline ratio ≈ 18% → GCDF candidate). (b) Asahi Kasei AMEC Mizushima cracker shutdown FY2030 row + 45/45/10 western-Japan ethylene JV row (per Mitsui/Mitsubishi/Asahi PR 2026-05-12). (c) Hanwha Solutions Solar PV CAPEX carve-out row ($680M solar + $680M debt repayment; NEITHER is petchem decarbonization). Petrochem_MACC: +1 row Bio-NCC (Asahi Revolefin: bioethanol→olefins/aromatics) at $95/$60. BF_Relining_Asset_Life: +4 cracker-asset-life rows (Asahi Mizushima FY2030 shutdown / Mitsui Osaka Takaishi consolidated / Lotte Daesan NCC 1 phased / Hanwha-DL Yeochun Plant 2). Steel_MACC: calibration notes appended to H2-DRI-EAF Green H2 row (NCBI/DOE 2026 PMC11924224 high-bracket $500/tCO2 sensitivity for US offshore lines) + HyREX row (FX-rate sensitivity ±$1.4B KRW 1,360 vs 1,500/USD). Company_Tech_Mapping: +2 stand-alone rows — Hanwha Solutions (solar carve-out flag) + Asahi Kasei (Mizushima exit + 10% JV equity).</t>
        </is>
      </c>
      <c r="D31" t="inlineStr">
        <is>
          <t>No new academic literature this entry (Day 3 = MACC refinement; literature adds deferred to Day 2 cycle). Confirmatory primary sources cross-referenced: NSC 2030 Medium-/Long-term Mgmt Plan 2025-12-12 (#145; nipponsteel.com IR), Mitsui Chemicals PR 2026-05-12 (#146), Asahi Kasei PR 2026-05-12 (#146), Hanwha Solutions DART 3rd amended prospectus 2026-05-14 (#147), SteelOrbis HyREX update 2026-04 (#138), GMK Center JFE Kurashiki anchor.</t>
        </is>
      </c>
      <c r="E31" t="inlineStr">
        <is>
          <t>여섯 high-salience CAP findings from Week 7 Day 3 (May 20 2026) MACC refinement: (1) **NSC 2030 PLAN GCDF EVIDENCE** — NSC ¥6T 5-yr envelope ($40B) decomposes to only ~$7.05B (~18%) credibly mapped to domestic decarbonization (Yawata+Hirohata+Shunan EAF cluster $6.0B + Kimitsu+Hasaki H2/DRI demos $0.55B + COURSE50 R&amp;D $0.3B + BF reline $0.2B); remaining $33B is dominated by the $11B USS pledge (BF-BOF asset base extension, NOT decarbonization) and India/SE Asia growth. Headline 'carbon-neutral CAPEX' framing in IR materials thus over-states actual abatement spend by ~5.7× — single largest CAP GCDF evidence to date. (2) **HANWHA SOLUTIONS 50/50 SPLIT = PURE GCDF CASE** — 1.8144T KRW rights offering breaks 907.7B SOLAR PV (perovskite tandem + GW mass-production by 2029) + 906.7B DEBT REPAYMENT. ZERO petrochemical decarbonization CAPEX in the headline raise. Hanwha PETCHEM decarb is structurally only NCC consolidation (Yeochun Plant 2 shutdown). FSS demanded 3 amendments + size cut -25% — financial-constraint signal joins NSC FY2025 net profit -95% + Hyundai Q1 -66% to form 3-anchor proposed Gap 6 evidence. (3) **JAPAN PETCHEM 45/45/10 JV FINAL EQUITY = GAP 4 FRAMEWORK-SCORING ANCHOR** — Mitsui 45 / Mitsubishi 45 / Asahi 10 finalized 2026-05-12 means current Company_Tech_Mapping joint 'Mitsubishi/Mitsui/Asahi' row should be DISAGGREGATED for proper CAP attribution; Asahi only 10% of any JV CAPEX while bearing 100% of Mizushima life-compression impact. SteelWatch-style scorecards currently credit each name for full project (Gap 4 textbook). (4) **MIZUSHIMA FY2030 + AMEC SHUT + DAESAN/YEOSU = JP-KR PETCHEM LIFE-COMPRESSION CLUSTER COMPLETE** — Asahi Mizushima FY2030 shutdown + 5 product-line exit (SM/LDPE/HDPE/ACN/PC-diol) + Lotte Daesan -1.1Mt NCC + Yeochun Plant 2 shutdown 2026-27 + AMEC consolidation (951→455ktpa, -52%) collectively form 4-anchor PETCHEM Gap 5 evidence cluster going OPPOSITE direction from steel BF reline lock-in. CAP 2-axis directional asymmetry now empirically anchored on both sides. (5) **REVOLEFIN BIO-NCC ENTERS CAP MACC TABLE** — Asahi Kasei Revolefin (bioethanol→olefins/aromatics one-stop catalysis) formally under consideration for Osaka Takaishi 455ktpa consolidated cracker post-2030 (Mitsui PR 2026-05-12). CAP places at $95(2030)/$60(2050) per tCO2, bridging LG Chem HVO bio-naphtha ($115/$80) and Coolbrook RDR electric cracker ($65/$25). NEW SUBSTITUTION PATHWAY for the western-Japan post-consolidation footprint. (6) **CAP TECH_PORTFOLIO_SPLIT NOW HAS 37 ROWS** spanning POSCO 8 / Hyundai Steel 3 / NSC 9 / JFE 2 / Kobe 2 / LG 3 / Lotte 1 / Hanwha 2 / SK Geocentric 1 / Asahi+JV 2 / Sector benchmark 1 / Net-of-subsidy lines 2 — coverage now multi-tech for 10 of 12 companies (Kobe and Mitsui/Mitsubishi standalone disaggregation remaining). May 2026 GCDF methodology has 3 marquee evidence rows ready for ES&amp;T-template draft per #148 Gunawan precedent.</t>
        </is>
      </c>
      <c r="F31" t="inlineStr">
        <is>
          <t>1) Day 4 (Thu 2026-05-21) Carbon Pricing &amp; Policy Update: (a) refresh K-ETS KAU25 spot (Carbon Pulse/OPIS post-Apr 26 print); (b) add NSC ¥6T plan macro-context to JP_GX scenario Notes column; (c) recompute Toyofuku effective-price for Hanwha solar reclassification (if reclassified, drops Hanwha from petchem effective-price denominator). 2) Day 5 (Fri 2026-05-22) Brainstorm Synthesis: (a) draft LCOA v0.3 with NEW GCDF (Green CAPEX Discount Factor) term — formal definition: GCDF_company = (verified-abatement-CAPEX ÷ headline 'green' CAPEX); 3 anchors NSC 18% / Hanwha 0% / POSCO ~95% (HyREX 20조원 all-in mapped); (b) draft 6-Gap framework section formalizing Gap 6 = financial-constraint × CAPEX-absorption capacity with NSC -95% NP / Hyundai Q1 -66% / Hanwha 50/50 + FSS 3 amendments as 3 anchors. 3) Day 6 (Sat 2026-05-23) Collaborator: track if Gunawan/Princeton Net-Zero America team or Larson/Greig have follow-on Asia-extension paper announcements; check TPI Centre 2026-04 publication for chemicals updates; (d) consider GCDF as discrete methodology paper candidate for ES&amp;T submission. 4) Day 7 (Sun 2026-05-24) Dashboard: update CAP_MACC_Dashboard.html — (i) Add Tech_Portfolio_Split NSC 4-line expansion to existing Section X NSC visualization; (ii) Add new 'GCDF Methodology' module showing NSC 18% / Hanwha 0% / POSCO ~95% bar chart; (iii) Add Japan-Korea petchem life-compression cluster timeline (Mizushima FY2030 / AMEC consolidation / Daesan / Yeochun) parallel to steel BF reline timeline; (iv) Update Asahi Kasei row in 12-company matrix (separate from Mitsui/Mitsubishi).</t>
        </is>
      </c>
      <c r="G31" t="inlineStr">
        <is>
          <t>Completed (Day 3 MACC Analysis Refinement; Tech_Portfolio_Split +7 rows / Petrochem_MACC +1 row / BF_Relining_Asset_Life +4 cracker rows / Steel_MACC calibration notes refreshed / Company_Tech_Mapping +2 stand-alone rows for Hanwha Solutions [solar carve-out] and Asahi Kasei [Mizushima exit])</t>
        </is>
      </c>
    </row>
    <row r="32" ht="360" customHeight="1">
      <c r="A32" s="12" t="inlineStr">
        <is>
          <t>Week 7 (Day 4)</t>
        </is>
      </c>
      <c r="B32" s="18" t="n">
        <v>46163</v>
      </c>
      <c r="C32" s="12" t="inlineStr">
        <is>
          <t>Day 4 Carbon Pricing &amp; Policy Update (Thu 2026-05-21, scheduled run). CAP_Technology_MACC_Analysis.xlsx → Carbon_Price_Scenarios sheet refreshed: (a) K-ETS Current row updated with KAU25 spot range KRW 13,750-17,000 ($9.53-11.7), K-MSR + power-sector auction phase-in (15%/20%/30%/40%/50% 2026-2030); (b) EU-ETS Level row updated to May 2026 month avg €74.04/t (IndexBox), May 11 EC free-allocation increase, May 7 EU-Brazil-China coalition launch, Apr 1 MSR amendment, July 2026 ETS major review; (c) CBAM row confirms Q1 official €75.36/t and Q2 publication date 2026-07-06; (d) NEW Row 12: Week 7 Day 4 snapshot triangulating K-ETS/GX-ETS/EU-ETS/CBAM + Hyundai-POSCO Louisiana DRI announcement (May 5-8 2026 Danieli selection) + Reuters Apr-2026 forecast downgrade (-14% on 2026 EUA from Jan baseline) + Korea Feb 2026 NCC restructuring KRW 2.1T package context.</t>
        </is>
      </c>
      <c r="D32" s="12" t="inlineStr">
        <is>
          <t>No new academic literature this entry (Day 4 = carbon pricing &amp; policy focus). Industry/policy sources cited in snapshot row: Carbon Pulse, IndexBox/Reuters, S&amp;P Global Energy, ICAP, EC DG-CLIMA, Carbon-Direct, MSCI, METI/UNFCCC GX presentation, Seoul Economic Daily, Korea Times, Korea Herald, Steel Market Update, Fuel Cells Works. Reuters analyst panel forecast (late-Apr 2026): EUA 2026 €80.61 / 2027 €93.29 — to be added to CAP_Literature_References as a grey-literature entry next Day 2 cycle.</t>
        </is>
      </c>
      <c r="E32" s="12" t="inlineStr">
        <is>
          <t>여섯 high-salience CAP findings from Week 7 Day 4 (May 21 2026): (1) EU-ETS May 2026 month avg €74.04/t LOWER than April average (€72→€74 = +2.8%, but the Reuters analyst panel CUT 2026 forecast to €80.61 from €92.65 in Jan — a -13% downgrade in 4 months. This is direct evidence that nominal carbon-price scenarios used by TPI/CA100+/SBTi are mean-reverting downward, not upward — supports CAP's argument that transition-finance frameworks overstate ETS-driven decarbonization incentive. (2) EU MAJOR POLICY EVENT May 11 2026: EC published updated 2026-2030 reference values → increased free allocation to industry (~75% of emissions covered, est. €4B savings). The marginal carbon cost of staying on BF-BOF or naphtha-cracker FELL for EU-domestic producers. This WIDENS the EU-domestic-vs-EU-importer gap, which is exactly the dynamic CAP needs to model: Korean / Japanese exporters now face a relatively WORSE economic environment for transition-tech investment because their EU competitors get more free allowances. (3) EU DIPLOMATIC EVENT May 7 2026: EU+Brazil+China launched Open Coalition on Carbon Market Compliance (NZ + Germany first additional members). First multilateral framework explicitly on MRV + carbon accounting beyond the bilateral CBAM dialogues — long-run implication is that K-ETS + GX-ETS will be benchmarked against an emerging international standard. (4) GX-ETS still has no spot price 7 weeks into mandatory phase (S&amp;P Global confirms 'demand muted, awaiting allocation clarity'). METI baseline allocation now expected autumn 2026 or later (1+ quarter slip). The floor ¥1,700 ($11.36) is operational but no scarcity = no marginal price discovery. JISF May-2025 statement reiterated 'zero-emission steel not possible for the time being' = the steel-industry-friendly allocation methodology is the default expectation — confirms CAP Gap 3 quantification (effective GX-ETS price for Nippon/JFE/Kobe = $0.55-1.39/tCO2). (5) Hyundai-POSCO Louisiana JV selected Danieli for hydrogen-ready DRI plant (May 5-8 2026; 2.5 Mt/y NG-H2 mix capable, with CCS). This is empirically powerful for CAP: POSCO + Hyundai ARE deploying H2-DRI technology — but doing so OUTSIDE Korea where IRA + state subsidies + scrap economics stack favorably. Korea's K-ETS at ~$0 effective price does not anchor the investment decision. This is direct support for CAP's argument that capital allocation decisions follow effective-price + policy-stack arithmetic, not the nominal ETS price that transition-finance frameworks key off. (6) Korea Feb 2026 NCC restructuring (KRW 2.1T / $1.46B Daesan complex) + 25% capacity cuts context: Korean petchem is restructuring DOWN-CAPACITY not REPLACING with electric-NCC / biomass / CCS. This is a major data point for CAP's petchem chapter — the policy direction in Korean petchem is exit-and-consolidate, not transition-and-invest. K-ETS at ~$0 effective price for petchem (100% free allocation Phase 4) is fully consistent with the shrinkage-not-transition equilibrium.</t>
        </is>
      </c>
      <c r="F32" s="12" t="inlineStr">
        <is>
          <t>Action items for Week 7 Day 5 (Brainstorm Synthesis, scheduled Fri 2026-05-22): (a) Add new section to CAP_Brainstorm_Notes.docx synthesizing Week 7 (Day 1 data, Day 2 literature, Day 3 MACC refinement, Day 4 carbon pricing) into a unified weekly narrative — focus on the WIDENING EU-domestic-vs-importer gap as new framing for Gap 3. (b) Begin LCOA + asset-lifecycle integration module — Hyundai-POSCO Louisiana DRI plant is the perfect case study for showing how depreciation-timing × effective-price × subsidy-stack determines investment siting; build a worked example next Day 3 cycle. (c) Flag the Reuters Apr-2026 EUA forecast downgrade (-14% from Jan) as a grey-literature reference to add to CAP_Literature_References next Day 2 cycle. (d) Update Tech_Portfolio_Split for POSCO + Hyundai to reflect that some H2-DRI capacity sits OUTSIDE Korea — this is the first cross-jurisdictional allocation issue we've quantified.</t>
        </is>
      </c>
      <c r="G32" s="12" t="inlineStr">
        <is>
          <t>Completed — Carbon_Price_Scenarios refreshed + Week 7 Day 4 snapshot added</t>
        </is>
      </c>
    </row>
    <row r="33" ht="409.6" customHeight="1">
      <c r="A33" s="5" t="inlineStr">
        <is>
          <t>Week 7 (Day 6)</t>
        </is>
      </c>
      <c r="B33" s="5" t="inlineStr">
        <is>
          <t>2026-05-23</t>
        </is>
      </c>
      <c r="C33" s="5" t="inlineStr">
        <is>
          <t>No new company data this entry (Day 6 = Collaborator &amp; Publication Tracking focus). Cross-reference confirmations relevant to existing rows: (a) **POSCO HyREX** — 2026-04 Pohang National Industrial Complex 1.34M m² coastal reclamation site approval (Ministry of Land, Infrastructure &amp; Transport) confirms HyREX FID timing assumption; **BHP-POSCO partnership** announced 2025-10 (advance hydrogen-based ironmaking technology) → Tech_Portfolio_Split POSCO HyREX row supply-chain confidence ↑; (b) **SteelWatch Corporate Scorecard 2026 (2026-03 publication)** final scores ingest: Hyundai Steel 21.2 / Nippon Steel 16.8 / POSCO 21.9 / JFE 23.4 (out of 100). Kobe Steel score still pending (cross-reference deferred item from Week 7 Day 1); (c) **CMU Hoffmann-Karplus-Pistorius 2026-01 PNAS** plant-level BF emissions intensity 1.20–2.08 tCO2/tHM (2011-2021) → Steel_MACC sheet within-tech variance range justification; can use as confidence-interval anchor for BF baseline emissions per Tech_Portfolio_Split row.</t>
        </is>
      </c>
      <c r="D33" s="5" t="inlineStr">
        <is>
          <t>8 new references added to CAP_Literature_References.xlsx (#155-#162, total now 154→162). 핵심 신규: (A) **#155 Hoffmann·Karplus·Pistorius (CMU) 2026-01 PNAS** — global BF plant-level CO2 intensity heterogeneity 1.20-2.08 tCO2/tHM, peer-reviewed empirical evidence for MICRO-layer asset-resolution analysis. CAP Gap 4 "sector benchmark의 기술별 비용 격차 무시" 의 peer-reviewed academic backing. (B) **#156 decarbSTEEL (Pistorius·Karplus CMU, AISTech 2025 debut + 2026-01 ES&amp;T H2-DRI paper)** — open-source Excel TechnoEconomic framework, CAP의 가장 가까운 academic comparable methodology. CAP working paper Section 2.2 related-tools comparison table 추가 필수. (C) **#157 Gernot Wagner (Columbia BS) 2026-01 "Cementing Carbon" Milken Review + 2025-09 "Hard to Abate, Impossible to Ignore" Columbia panel** — industrial decarb economist framing; cement/steel "low-margin commodity → tipping point" framing의 economist-level Gap 5 justification. (D) **#158 SteelWatch Corporate Scorecard 2026 (2026-03)** "The Transition Readiness Gap" 18-company assessment with full Korea/Japan coverage (Hyundai 21.2 / NSC 16.8 / POSCO 21.9 / JFE 23.4). CAP comparison framework table에 4번째 axis 추가 (TPI/CA100+/SBTi + SteelWatch). (E) **#159 POSCO HyREX milestones cluster** — 2025-10 BHP partnership + 2026-04 Pohang site approval; CAP의 POSCO LCOA CAPEX timing assumption (2027 FID → 2030 demo → 2035 scale-up) 정합성 확인. (F) **#160 Caldecott (Oxford Sustainable Finance Group) 2026 Summit + Executive Programme** — transition finance, stranded assets, spatial finance curriculum; CAP Section 6 publication venue + collaborator outreach 후보 #3. (G) **#161 Industrial Decarbonization 2026 conference 4-cluster** — Decarb Connect NA (02월) + Industrial Decarbonization Network Amsterdam (05월) + Reuters Energy Transition Europe + Leadvent Industrial Net Zero Europe (11월). CAP 2026-Q4 publication target과 정합적 dissemination venues. (H) **#162 InfluenceMap 2026 Q1-Q2** — EU Industrial Accelerator Act + Canada oil/gas lobbying; "technology neutrality vs science-aligned pathway" 갈등 framing이 K-ETS Phase 4 / GX-ETS Phase 2 free-allocation design 비판에 transferable.</t>
        </is>
      </c>
      <c r="E33" s="5" t="inlineStr">
        <is>
          <t>여섯 high-salience CAP findings from Week 7 Day 6 (Sat 2026-05-23) Collaborator &amp; Publication Tracking: (1) **CMU KARPLUS GROUP = CAP MICRO-LAYER ACADEMIC ANCHOR 확정 (#155 PNAS + #156 decarbSTEEL)** — Hoffmann·Karplus·Pistorius PNAS 2026-01 paper와 decarbSTEEL framework가 CAP MICRO layer (plant-level emissions heterogeneity + furnace-level techno-economic tradeoff) 의 가장 직접적 peer-reviewed precedent. CAP working paper에서 "CAP MICRO layer extends Hoffmann-Karplus-Pistorius 2026 heterogeneity findings to Korean+Japanese asset base under K-ETS/GX-ETS effective-price scenarios" framing 가능. **Karplus collaborator outreach 최우선 (PLANiT × CMU Industrial Decarbonization Initiative joint workshop 잠재)**. (2) **PRINCETON GUNAWAN/LARSON/GREIG TEAM (#148, Week 7 Day 2) + CMU KARPLUS TEAM (#155-156, Week 7 Day 6) = LCOA PEER-REVIEWED PRECEDENT DUAL ANCHOR** — Gunawan ES&amp;T 2026 (petchem LCOA) + Hoffmann PNAS 2026 (steel BF heterogeneity) → CAP working paper의 "LCOA + asset-level resolution" methodology가 2026년 ES&amp;T+PNAS 양 학술지 publication trajectory와 정렬. CAP working paper의 methodology section justification 강도 ↑↑. (3) **SteelWatch 2026 Scorecard 4-COMPANY DELTA = CAP-RELEVANT NARRATIVE EVIDENCE (#158)** — JFE 23.4 &gt; POSCO 21.9 &gt; Hyundai Steel 21.2 &gt; NSC 16.8 → SteelWatch가 "transition readiness" outcome 평가; CAP은 "CAPEX cost-efficiency × investment timing" input/process 평가 → outcome×process complementary framing. JFE가 가장 높은 점수인 이유 (BF reline 2028 + EAF FID 2028 alignment, Day 3 Week 2에서 식별) 는 CAP의 Day 3 finding과 정합. Hyundai Steel 21.2 &lt; POSCO 21.9 = CAP의 Tech_Portfolio_Split 데이터 (Hyundai $1.1B vs POSCO $13.3B+) 와 정합 — capital deployment 격차가 SteelWatch score 격차의 economic driver. (4) **WAGNER "CEMENTING CARBON" + "HARD TO ABATE, IMPOSSIBLE TO IGNORE" = CAP NARRATIVE ECONOMIST-LEVEL FRAMING (#157)** — "cement and steel: low-margin commodity businesses, fierce competition, glacial innovation — until, suddenly, it is not" framing은 CAP Gap 5 "investment timing" 가설을 industrial economist 어휘로 정당화. CAP working paper introduction section에서 Wagner 인용으로 "tipping point detection이 transition finance의 핵심 missing element" framing 강화. Wagner CAP6 model (Carbon Dioxide as Risky Asset, Climatic Change) → CAP LCOA에 carbon-price-risk premium 추가 가능. (5) **POSCO HyREX 2026-Q1~Q2 MILESTONE CLUSTER = CAP KOREAN ANCHOR EVIDENCE (#159)** — 2025-10 BHP partnership + 2026-04 Pohang site approval (1.34M m² reclamation) → POSCO HyREX commercial-scale demo timing 확정. CAP의 POSCO LCOA scenario 2026~2035 capital deployment curve 가 site-approval 시점 (2026-04) 에 anchor. **CAP Korean evidence base가 Day 6 Week 7 단계에서 "POSCO BF reline lock-in (Gwangyang #2 2025-04) + HyREX demo timing 2030 (2026-04 site approval) + K-ETS effective price ~$0 (Phase 4 100% free allocation) + Hyundai Q1 -66% net profit" 4-anchor 형성**. (6) **2026-Q4 PUBLICATION DISSEMINATION VENUE 4-CLUSTER 매핑 완료 (#161 + #160 Oxford)** — Decarb Connect NA 2026-Q1 (publishing 후 시점), Industrial Decarbonization Network Amsterdam 2026-05 (publishing 직전), Reuters Energy Transition Europe + Leadvent 2026-11 (publishing target과 정렬), Oxford Sustainable Finance Summit 2026 (academic venue). **CAP 2026-Q4 publication target → Oxford Summit 2027 + Leadvent Europe 2026-11 가 prima candidate dissemination venues**; PLANiT Institute Asia-Pacific industrial decarbonization roundtable 자체 organising 옵션 long-term plan.</t>
        </is>
      </c>
      <c r="F33" s="5" t="inlineStr">
        <is>
          <t>Action items for Week 7 Day 7 (Dashboard &amp; Visualization Update, scheduled Sun 2026-05-24): (a) **Update CAP_MACC_Dashboard.html with Week 7 findings** — (i) Add SteelWatch 2026 Scorecard 4-company bar chart (Hyundai 21.2 / NSC 16.8 / POSCO 21.9 / JFE 23.4) overlay onto existing 12-company scatter; (ii) Add CMU PNAS BF heterogeneity range (1.20-2.08 tCO2/tHM) as confidence band on POSCO/NSC/Hyundai/JFE/Kobe BF baseline emissions; (iii) Add POSCO HyREX 2026-04 site approval as new milestone marker on POSCO timeline. (b) **Update CAP working paper Section 2 (Related Work)** — add decarbSTEEL (CMU Karplus) as nearest comparable Excel-based TechnoEconomic methodology with 4-axis comparison table (decarbSTEEL = design-decisions × CAP = investment-timing × Gunawan ES&amp;T = facility-resolution petchem × Yan ERSS = stranded-asset cross-country). (c) **Collaborator outreach roster update** — 9-person watchlist now: Dietz(LSE/TPI), Caldecott(Oxford), Hepburn(Oxford), Wagner(Columbia), Karplus(CMU), Jenkins(Princeton), Larson(Princeton), Greig(Princeton), Pistorius(CMU). Priority tier-1 (immediate outreach candidates for CAP working paper review): Karplus + Larson + Wagner (3-축 academic alignment); Tier-2 (after working paper publication): Dietz + Caldecott + Hepburn (institutional positioning). (d) **Dissemination venue plan v0.1** — 2026-Q4 working paper publication → Leadvent Industrial Net Zero Europe 2026-11-25-26 abstract submission ⇒ 2027-Q1 Decarb Connect NA Houston 02월 presentation ⇒ 2027-Q3 Oxford Sustainable Finance Summit short paper. Asia-Pacific own-organized roundtable consideration: PLANiT Institute could host "Asia-Pacific Industrial Decarbonization &amp; Capital Allocation Pathway" workshop Q4 2026 or Q1 2027 given absence of Asia-specific industrial decarbonization conference in 2026 cycle. (e) **Carbon_Price_Scenarios refresh deferred**: Week 7 Day 4 already captured KAU25 trajectory; KAU spot post-Apr 26 print to be added next Day 4 cycle (Week 8 Thursday).</t>
        </is>
      </c>
      <c r="G33" s="5" t="inlineStr">
        <is>
          <t>Completed (Day 6 Collaborator &amp; Publication Tracking; 8 new refs #155-162 added covering Hoffmann-Karplus-Pistorius PNAS / decarbSTEEL / Wagner Cementing Carbon / SteelWatch 2026 Scorecard / POSCO HyREX milestones / Caldecott Oxford / Industrial Decarbonization 2026 conferences / InfluenceMap 2026; literature base 154→162 refs; collaborator watchlist expanded 6→9 persons; dissemination venue plan v0.1 drafted)</t>
        </is>
      </c>
    </row>
    <row r="34">
      <c r="A34" t="inlineStr">
        <is>
          <t>Week 7 (Day 7)</t>
        </is>
      </c>
      <c r="B34" t="inlineStr">
        <is>
          <t>2026-05-24</t>
        </is>
      </c>
      <c r="C34" t="inlineStr">
        <is>
          <t>Day 7 Dashboard &amp; Visualization Update (Sun 2026-05-24, scheduled run). CAP_MACC_Dashboard.html refreshed (Build 2026-05-24): (a) Header date + carbon-price snapshot updated — K-ETS KAU25 May 2026 range KRW 13,750–17,000 ($9.53–$11.7); EU-ETS May 2026 monthly avg €74.04 ($81.7); CBAM Q1 €75.36, Q2 2026-07-06 publication; (b) Section 3 Carbon Price Scenario Matrix column headers updated to KAU25 range ($9.5 low / $11.7 high) and EU-ETS May avg $81.7; insights paragraph rewritten with Korean denominator $15.8B + W-JP ethylene JV 45/45/10 reference; (c) Section 5 Petchem MACC chart — added Bio-NCC (Revolefin, Asahi Kasei) at $95/2030 / $60/2050 + Coolbrook RDR $65/$25 + Plasma Cracker $110/$60 (now 10-tech vs prior 7-tech bar); (d) Section 11 Asia cracker timing gantt — AMEC Mizushima row annotated with "10% Asahi equity in W-JP JV" pill + "5 product lines discontinued" detail; alert-box rewritten to include 45/45/10 Mitsui/Mitsubishi/Asahi equity split + Osaka Takaishi surviving asset + life-compression-vs-life-extension framing; (e) NEW Section 12 — Hanwha Solutions rights-offering carve-out (KRW 907.7B Solar PV / KRW 906.7B debt repayment doughnut chart) + 3-anchor evidence chart (Hanwha/NSC/Hyundai headline-vs-CAP-adjusted-CAPEX) for proposed Gap 6 (Financial-Constraint × CAPEX-Absorption Capacity) with GCDF (Green-CAPEX Discount Factor) methodology recommendation; (f) NEW Section 13 — Multi-tech CAPEX portfolio waterfall (stacked bar) for POSCO 9-component ($11.8B HyREX + $2.5B Gwangyang EAF + $2.05B Odisha 50% + $1.16B Louisiana 20% + smaller items, ~$18.7B group total, ~$3.21B/17% offshore) + Nippon Steel 6 main components ($4B Yawata EAF + ¥868.7B total + reconciliation to ¥6T 2030-plan = 14.5% abatement ratio) + Hyundai 3 components ($0.98B Dangjin EAF + $5.8B Louisiana shown balance-sheet-separate); (g) Footer updated to reflect Build 2026-05-24 + expanded source-sheet list. NEW Bio-NCC (Revolefin) row added to Petchem_MACC sheet on 2026-05-20 already propagated to chart. CAP_Technology_MACC_Analysis_pre2026-05-24.xlsx.bak + CAP_MACC_Dashboard_pre2026-05-24.html.bak + CAP_Brainstorm_Notes_pre2026-05-24.docx.bak created.</t>
        </is>
      </c>
      <c r="D34" t="inlineStr">
        <is>
          <t>No new literature this entry (Day 7 = dashboard refresh focus). All visualizations source-cited to existing literature: Lit #97/#139 (SteelWatch), #107 (LSE Grantham), #119 (TPI calendar), #120 (IEEFA Whyalla), #121 (He-Jenkins EES 2026), #136 (Toyofuku ADB), #145 (NSC 2030 plan), #146 (Asahi Mizushima cluster), #147 (Hanwha prospectus 3rd amend). New Section 12 carbon-neutral CAPEX vs absorption-capacity framing cites #145 + #147 + Hyundai Q1 2026 release (Apr 2026). New Section 13 sources Tech_Portfolio_Split sheet (Days 1+3+6 additions).</t>
        </is>
      </c>
      <c r="E34" t="inlineStr">
        <is>
          <t>Week 7 Day 7 closes the week. THREE structural CAP-methodology hooks ready for next-week synthesis: (1) GCDF (Green-CAPEX Discount Factor) for headline-CAPEX adjustment — apply project-status realization probability × renewable-vs-process-decarb classifier × 3-yr OCF coverage; (2) component-weighted MACC as the primary CAP MIDDLE-layer score output (replacing single-tech Primary_Technology_Bet column); (3) Toyofuku Effective-Price substitution in LCOA v0.3 (Section 10 logic, applied across 12-company cohort). The 2D Section 9 + Section 12 charts together quantify "expensive virtue" + "headline CAPEX overcredit" — these are CAP's two sharpest analytical contributions vs TPI/CA100+/SBTi. Dashboard now contains 13 sections covering all three CAP layers (MACRO Section 1/3, MIDDLE Section 4/5/9/10/11/12/13, MICRO Section 6).</t>
        </is>
      </c>
      <c r="F34" t="inlineStr">
        <is>
          <t>Day 5 (Fri 2026-05-22) Brainstorming &amp; Synthesis run was MISSING — flag for next-week priority: ingest Day 7 dashboard refresh + Day 6 collaborator findings into LCOA v0.3 methodology framework draft. Day 7 backups created for HTML + xlsx + docx. Next scheduled run: Mon 2026-05-25 (Week 8 Day 1, Data Enhancement) — priorities: (i) Hyundai Q1 2026 results primary-source pull for Section 12 chart calibration; (ii) Kobe Steel SteelWatch Scorecard 2026 PDF retrieval (still cross-reference deferred from W7 D1); (iii) POSCO 1.34M m² Pohang reclamation site EIA timeline; (iv) GX-ETS J-Credit price update.</t>
        </is>
      </c>
      <c r="G34" t="inlineStr">
        <is>
          <t>Done</t>
        </is>
      </c>
    </row>
    <row r="35">
      <c r="A35" t="inlineStr">
        <is>
          <t>Week 8 (Day 1)</t>
        </is>
      </c>
      <c r="B35" s="14" t="n">
        <v>46167</v>
      </c>
      <c r="C35" t="inlineStr">
        <is>
          <t>Day 1 Data Enhancement (Mon 2026-05-25, scheduled run; Week 8 cycle start). CAP_Company_Data.xlsx — 7 cell-level Data_Source appends: STEEL (a) POSCO Data_Source — added Carbon Pulse 2025-05-30 #403094 + InfluenceMap K-ETS 2025 report cross-ref, formally tagging POSCO as named lead-sector lobby actor for K-ETS weakening (calls for permit reform, free allocation, low carbon price); CAP Gap 3 endogenous-price-signal anchor for any K-ETS-based MACC. (b) Hyundai Steel Data_Source — added CleanTechnica 2026-05-22 + Sierra Club PR 2026-05-22: Good Neighbors Louisiana coalition (USW District 13 + NAACP LA + Sierra Club Delta + Sunrise) on-site delegation visit to Hyundai's Gonzales offices May 22 2026, hand-delivering formal demand list re. $5.8B HPLS Donaldsonville mill — ESCALATION beyond May 11 LDEQ records lawsuit; civil-society/social-license risk now structural, not transient. PETCHEM (c) LG Chem — Korea Times 2026-05-05 sector-skepticism cross-ref ('one-off effects' framing for Q1 PETCHEM profit rebound) reinforces Gap 6 financial-constraint datapoint. (d) Lotte Chemical — Re-search 2026-05-25 confirms KFTC formal approval for Lotte-YNCC merger STILL pending (~9 weeks elapsed since 2026-03-20 preliminary phase start); Hydrocarbon Processing Apr/May 2026 Chemical Week features Lotte CEO 'shift to high-growth sectors' framing — capacity-reduction occurring under commercial-distress lens (KFTC), not climate-policy lens. (e) SK Geocentric — Re-search confirms Ulsan dual-track signal: ethane-shift feasibility study AND cracker shutdown evaluation running in parallel; LCOA computation must model option-tree. (f) Hanwha Solutions — SEDaily 2026-05-15 confirms KRW 1.8144T rights offering trajectory unblocked after 3 FSS amendment rounds; proceeds split KRW 907.7B facility CAPEX / KRW 906.7B debt repayment reaffirmed as Gap 6 marquee datapoint (50% green-labeled raise → balance-sheet repair). (g) Asahi Kasei — C&amp;EN 2026-05 'sharply scale back' framing for May 12 Mizushima 5-product-line exit; semantic gap (sector press 'scale back' vs framework 'decarbonization') flagged as CAP methodological-finding candidate.</t>
        </is>
      </c>
      <c r="D35" t="inlineStr">
        <is>
          <t>No new academic literature this entry (Day 1 = company data focus). Re-anchored / re-surfaced existing references: (i) Carbon Pulse 2025-05-30 #403094 'Steel, industry groups keep Korean ETS in a stranglehold' — paired with InfluenceMap K-ETS 2025 report (#160-class) as POSCO sector-lobby anchor for Gap 3; (ii) Sierra Club + CleanTechnica May 22 2026 PR cycle (Good Neighbors Louisiana delegation) extends the HPLS social-license-risk dossier already covered by Lit #150/151-class refs (Sierra Club May 4 2026 LDEQ filing); (iii) Korea Times 2026-05-05 sector-skepticism story positioned as a Q1 2026 PETCHEM 'one-off' reading anchor; (iv) Hydrocarbon Processing / Chemical Week Apr 27-May 4 2026 issue (Lotte CEO interview) flagged for next-cycle Lit ingestion.</t>
        </is>
      </c>
      <c r="E35" t="inlineStr">
        <is>
          <t>여섯 high-salience CAP findings from Week 8 Day 1 (Mon 2026-05-25) data enhancement: (1) **HPLS SOCIAL-LICENSE RISK BECOMES STRUCTURAL.** May 22 2026 Good Neighbors Louisiana delegation visit to Hyundai's Gonzales offices completes a 3-layer opposition stack: (a) LDEQ permit-process challenges, (b) federal-records-act litigation (May 11 lawsuit live), (c) in-person delegation demands (May 22). CAP Gap 5 datapoint upgrade: any LCOA computation for HPLS's 'green' Louisiana EAF capacity now needs a probability-of-realization discount, not just a timing slippage. Plausible discount range = 0.85-0.95 on the $5.8B headline given Q3 2026 construction-start slippage + ongoing litigation. (2) **K-ETS ENDOGENOUS-PRICE-SIGNAL FLAG (Gap 3 reinforcement).** Carbon Pulse #403094 + InfluenceMap analysis explicitly name POSCO as leading lobby actor for K-ETS weakening (free allocation, permit reform, low carbon price). CAP methodology implication: the K-ETS price signal used in MACC computations is itself shaped by the firm whose abatement choices are being scored — circular/endogenous. Required CAP add: shadow-price counterfactual (e.g., Korea NDC-aligned shadow price ~$50/t per multiple academic refs) layered alongside actual K-ETS price in MACC. (3) **LG CHEM Q1 'RECOVERY' IS ONE-OFF — Gap 6 stays in force.** Korea Times 2026-05-05 framing: LG Chem PETCHEM Q1 OP KRW 164.8B + Lotte Chemical 10-quarter-streak-broken return-to-profit driven by (i) inventory lag (Middle East raw material rise), (ii) EU anti-dumping refund, (iii) lower naphtha input costs from supply crunch. None structural. Reinforces 'transition CAPEX deployment occurs during financial constraint' framing. (4) **KFTC TIMELINE SLIPPAGE FOR LOTTE-YNCC MERGER.** Preliminary review opened 2026-03-20, formal approval still not published as of 2026-05-25 (~9 weeks). Korean petrochem restructuring path running ~2-3 months behind announcement-week pace. CAP Gap 5: 'transition timing' for capacity-reduction events depends on regulatory throughput, not corporate intent. (5) **SKGC ULSAN DUAL-TRACK SIGNAL.** Re-surfacing of KEDGlobal Dec 2025 'SK weighs Ulsan cracker shutdown' article alongside ethane-shift study confirms two parallel options under evaluation: ethane feedstock retrofit (lower OPEX, residual scope-1 cracker CO2) vs full cracker shutdown (eliminates scope-1, displaces volume to imports). CAP LCOA framework must structure this as an OPTION TREE with different terminal emissions outcomes. (6) **HANWHA RIGHTS OFFERING UNBLOCKED — 50/50 USE-OF-PROCEEDS STANDS.** SEDaily 2026-05-15 confirms trajectory: KRW 1.8144T raise → KRW 907.7B facility CAPEX + KRW 906.7B debt repayment. 50% of headline 'transition' raise goes to balance-sheet repair. The FSS 3-round amendment cycle (Apr-May 2026) itself is CAP-relevant — regulator forced disclosure of split that surfaced the Gap 6 marquee point.</t>
        </is>
      </c>
      <c r="F35" t="inlineStr">
        <is>
          <t>Action items for Week 8 Day 2 (Tue 2026-05-26, Literature Search): (a) Ingest Carbon Pulse #403094 (2025-05-30) + InfluenceMap K-ETS 2025 report as formal Lit refs with Gap 3 tagging — pair with existing #138-class Toyofuku ADB ref for endogenous-price discussion; (b) Ingest Hydrocarbon Processing / Chemical Week Apr 27-May 4 2026 Lotte Chemical CEO interview (high-growth-sector pivot framing) — Gap 5 tag; (c) Search for May 22 2026 USW District 13 + NAACP LA joint statement on HPLS to capture original primary text (Sierra Club PR is secondary); (d) Search ICIS / C&amp;EN / Chemical Processing May 2026 Asahi Kasei coverage for additional 'scale back vs decarbonization' framing material — feed into the Gap 5 framework-semantics methodological finding candidate; (e) DEFERRED FROM WEEK 7: Kobe Steel SteelWatch Corporate Scorecard 2026 score still not retrieved (peer ranges anchored but Kobe-specific score missing); attempt direct SteelWatch report PDF on Day 2 or Day 6; (f) DEFERRED FROM WEEK 7: K-ETS KAU25 spot refresh blocked by ets.krx.co.kr being primary source (not crawlable via web search); flag for Day 4 (Thu 2026-05-28) Carbon Pricing run.</t>
        </is>
      </c>
      <c r="G35" t="inlineStr">
        <is>
          <t>Completed (Day 1 Data Enhancement; CAP_Company_Data.xlsx 7 cell-level appends across Steel/Petrochem; Weekly_Tracker +1 row; 2 deferred items rolled forward: Kobe Steel SteelWatch score + K-ETS KAU25 refresh)</t>
        </is>
      </c>
    </row>
    <row r="36" ht="409.6" customHeight="1">
      <c r="A36" s="5" t="inlineStr">
        <is>
          <t>Week 8 (Day 2)</t>
        </is>
      </c>
      <c r="B36" s="15" t="n">
        <v>46168</v>
      </c>
      <c r="C36" s="5" t="inlineStr">
        <is>
          <t>No new company data this entry (Day 2 = Literature Search focus). Cross-reference work only: (a) confirmed CAP_Literature_References.xlsx row 18 (Wang et al. Nature 2025 s41586-025-09658-9) already captures the global plant-level steel LCOA paper that anchors today's search; (b) confirmed rows 138/155 (Hoffmann–Karplus–Pistorius PNAS 2026-01) and row 46 (Carbon Pulse GX-ETS floor/ceiling) already in file — avoided duplication; (c) Day 1 action item (a) about Carbon Pulse #403094 + InfluenceMap K-ETS 2025 deferred to Day 4 (Carbon Pricing) because today's focus was academic/methodological literature; (d) Day 1 action items (c) USW/NAACP LA HPLS statement and (e) Kobe SteelWatch Scorecard score remain DEFERRED to Day 6.</t>
        </is>
      </c>
      <c r="D36" s="5" t="inlineStr">
        <is>
          <t>5 new references added to CAP_Literature_References.xlsx (#163-#167). **#163 Tautorat·Iversen·Schmidt·Steffen (Applied Energy 2025, Vol 397, 126238)** — Real Options Valuation (ROV) model for 68 Swiss chemical plants, 4 pathways (electrification/biomass/H2/CCS); MOST METHODOLOGICALLY RELEVANT to CAP's LCOA-with-timing framework (Gap 1, 2, 5). **#164 For Our Climate (2025-06-25) Driving H2 Steelmaking in S Korea: Focus on H2 Sourcing** — POSCO HyREX 300,000 tpa demo 27,000 tH2/yr; grey/blue/green H2 sourcing scenarios with LCOA implications (Gap 1, 2, 3). **#165 GreenCentralBanking 2026-01-13 Weak consensus on Asian transition taxonomies** — Japan taxonomy permits coal optimization and ammonia co-firing as 'transition'; concrete mispricing case strengthening CAP's framework critique (Gap 1, 3, 5). **#166 Setouchi Ethylene LLP (Asahi+Mitsui+Mitsubishi, 2026-01-27 announcement)** — Mizushima/Iwakuni ethylene complexes JV integration, METI HtA Support Program selected, 2030 capacity target, 2034 commercial decarb-chemicals (Gap 1, 2, 4, 5). **#167 Japan steel CAPEX update bundle (JFE Kurashiki 2 Mtpa EAF $2.2B 2028 + Emirates DRI JV; Kobe Steel 2024-2026 decarb budget $2.09B→$1.05B then 2026-01 revival)** — direct input for Day 3 CAPEX correction (Gap 1, 2, 4, 5).</t>
        </is>
      </c>
      <c r="E36" s="5" t="inlineStr">
        <is>
          <t>Six high-salience CAP findings from Week 8 Day 2 (Tue 2026-05-26) literature search: **(1) METHODOLOGICAL BREAKTHROUGH — Real Options enters CAP's analytical chain.** Tautorat et al. (2025, Applied Energy) provides the missing academic anchor for CAP's Gap 5 (annual snapshot evaluation ignores investment timing). Their ROV framework on 68 chemical plants — 4 tech pathways × 3 uncertainty drivers (EU-ETS, electricity, CCS CAPEX) — is precisely the methodological scaffold CAP needs to extend LCOA with timing premium. **Action**: in next brainstorming note (Day 5), formally propose an 'LCOA + Real Options Premium' hybrid equation: LCOA_total = LCOA_static + Φ(σ_carbon, σ_electricity, t_decision) where Φ is the option-value adjustment. This converts CAP's MIDDLE layer from descriptive (CAPEX-allocation maps) to prescriptive (when-to-invest curves). **(2) GAP 5 OPERATIONALIZATION — Kobe Steel budget oscillation is the empirical poster child.** Ref #167's Kobe Steel 2024-2026 budget revision ($2.09B → $1.05B in May 2025, then 2026-01 capacity revival) is a real-world example of exactly what 'annual snapshot evaluation' frameworks (TPI, CA100+, SBTi) cannot capture. Three discrete actions in 18 months that a single-year MQ score collapses into noise. CAP can use this as a CASE STUDY for the working paper. **(3) GAP 4 (technology cost gap) — Setouchi Ethylene LLP forces multi-company CAPEX-sharing modeling.** Ref #166 (3 Japanese chemical majors integrating 2 ethylene complexes) breaks the single-company CAPEX assumption baked into row 13 of CAP_Company_Data.xlsx. CAP needs an explicit 'JV/consortium CAPEX allocation' column. METI's HtA Support Program also injects public co-financing that distorts effective LCOA — must be modeled. **(4) GAP 3 (K-ETS/GX-ETS integration) — Asian taxonomy fragmentation is the policy backdrop.** Ref #165 (GreenCentralBanking on Japan's taxonomy permitting coal optimization + ammonia co-firing as 'transition') directly demonstrates the mispricing risk CAP critiques. K-Taxonomy 2022 + Japan's CT 2021 vs EU Taxonomy fragmentation creates arbitrage windows that LCOA-based scoring would surface. **Action**: add 'Transition Taxonomy Alignment Score' column to Carbon_Pricing_Comparison data on Day 4. **(5) POSCO HyREX sub-technology decomposition — Gap 4 fine-grained.** Ref #164 (FOC H2 sourcing report) lets CAP decompose POSCO's CAPEX into HyREX-core vs H2-procurement-infrastructure components — currently bundled in CAP_Technology_MACC_Analysis.xlsx Company_Tech_Mapping under a single 'POSCO HyREX' row. The grey/blue/green H2 sourcing split changes LCOA by 30-60% depending on Korean grid mix. **Action**: split POSCO row into ≥2 sub-rows in Day 3 MACC refinement. **(6) CONFIRMATION OF EXISTING BACKBONE — Wang Nature 2025, Hoffmann-Karplus PNAS 2026, Dietz-Hastreiter 2026 all in file.** Today's broad search confirms that CAP's literature backbone (Gap 1-5 evidence) is complete for the global steel and Asian transition finance literature. The 5 new additions fill specific methodological (ROV), regional (Korea H2), policy (Asian taxonomy fragmentation), and company-data (JV CAPEX + JFE/Kobe update) gaps rather than re-covering already-mapped territory.</t>
        </is>
      </c>
      <c r="F36" s="5" t="inlineStr">
        <is>
          <t>Action items for Week 8 Day 3 (Wed 2026-05-27, MACC Analysis Refinement) and downstream: (a) **PRIORITY 1 — Apply Ref #167 to fix Company_Tech_Mapping sheet**: update JFE Steel CAPEX (~$2.2B EAF Kurashiki + Emirates DRI JV share, currently understated); update Kobe Steel with 2025-05 budget revision $2.09B → $1.05B and 2026-01 revival as separate timeline entries (creates new Gap 5 column requirement). (b) **PRIORITY 2 — Apply Ref #164 to POSCO**: split POSCO HyREX row into HyREX-core + H2-procurement sub-rows in Company_Tech_Mapping; create LCOA sensitivity table for grey/blue/green H2 sourcing × Korean grid 2030 emissions intensity. (c) **PRIORITY 3 — Apply Ref #166 to petrochemical companies**: add 'JV/Consortium' column in Company_Tech_Mapping for Asahi Kasei/Mitsui Chemicals/Mitsubishi Chemical noting Setouchi Ethylene LLP membership; document METI HtA Support Program 2025 subsidy implications for effective CAPEX. (d) Day 4 (Thu 2026-05-28, Carbon Pricing &amp; Policy): use Ref #165 to add 'Transition Taxonomy Alignment' qualitative score column to Carbon_Pricing_Comparison; also clear Day 1 DEFERRED items (Carbon Pulse #403094 + InfluenceMap K-ETS 2025; KAU25 spot refresh from KRX). (e) Day 5 (Fri 2026-05-29, Brainstorm Synthesis): formally write up the **LCOA + Real Options Premium** hybrid framework in CAP_Brainstorm_Notes.docx using Ref #163 as the methodological anchor; identify it as the candidate CAP methodological contribution for Q3-2026 working paper draft. (f) Day 6 (Sat 2026-05-30, Collaborator Tracking): re-attempt Kobe SteelWatch Corporate Scorecard 2026 retrieval (DEFERRED 2 weeks running) and USW/NAACP LA HPLS joint statement (Day 1 deferred). (g) **WORKING PAPER LINK**: Ref #163 (Tautorat ROV) + Ref #167 (Kobe budget oscillation) + Ref #166 (Setouchi JV) form a coherent 3-paper evidence chain for the Section 3 'Why annual-snapshot evaluation fails' argument; queue for Day 5 brainstorm.</t>
        </is>
      </c>
      <c r="G36" s="5" t="inlineStr">
        <is>
          <t>Completed (Day 2 Literature Search; 5 new refs #163-#167 added covering ROV methodology, Korea H2 sourcing, Asian taxonomy fragmentation, Japan JV CAPEX, JFE/Kobe CAPEX updates; backup CAP_Literature_References_pre2026-05-26.xlsx.bak saved).</t>
        </is>
      </c>
    </row>
    <row r="37">
      <c r="A37" t="inlineStr">
        <is>
          <t>Week 8 (Day 3)</t>
        </is>
      </c>
      <c r="B37" s="16" t="n">
        <v>46169</v>
      </c>
      <c r="C37" t="inlineStr">
        <is>
          <t>Day 3 MACC Analysis Refinement (Wed 2026-05-27, scheduled run). Applied 3 priority action items from Week 8 Day 2 (Tue 5/26): (PRIORITY 1) Ref #167 applied to Company_Tech_Mapping — JFE row 5 amended with Itochu-Emirates DRI JV detail (2.5Mtpa Abu Dhabi, post-2027 start, ~50% of Kurashiki EAF feed, NG-DRI H2-ready); Kobe row 6 amended with Kakogawa scrap-melting furnace announcement (700ktpa, ~JPY 100B ($670M), FY2027 FID per next mid-term plan, ops early 2030s, BF-mixed-converter hybrid → BF NOT retired). (PRIORITY 2) Ref #164 applied to POSCO — Company_Tech_Mapping row 2 amended with H2-procurement decomposition; Tech_Portfolio_Split added 4 new POSCO rows: (a) H2 procurement infrastructure envelope ($6.5B by 2030), (b) HyREX LCOA grey-H2 scenario (~$160/tCO2, 2027-2032 operative phase), (c) HyREX LCOA imported blue NH3 mix scenario (~$115/tCO2, 2032-2038), (d) HyREX LCOA green-shift scenario (~$85/tCO2, 2038+ end-state). Korea 2030 H2 mix anchored: 940kt grey + 750kt blue + 250kt domestic green + 1.96Mt imported green; pricing $3.40/kgH2 imported blue NH3 → $4.56/kgH2 imported green NH3 (Ko/Chang 2024). (PRIORITY 3) Ref #166 applied to petchem — Company_Tech_Mapping row 8 amended with Setouchi Ethylene LLP equity ratio Mitsui 45% / Mitsubishi 45% / Asahi 10% (finalized 2026-05-12); Tech_Portfolio_Split equity-weighted JV row added with asymmetric-split methodological flag. Verified that earlier CAPEX corrections (Hyundai $1.1B KR + $5.8B US separate, NSC $6.0B domestic) remain intact. Added (Steel_MACC) one new technology row 'Scrap-Melter + BF Hybrid' (Kobe Kakogawa pattern) at $25/tCO2 2030 / $20/tCO2 2050 with 30-40% reduction, tagged as 'transition decoy candidate' for CAP methodological discussion. Added (BF_Relining_Asset_Life) Kobe Kakogawa scrap-melter row + updated Kobe BF notes flagging BF-life PRESERVATION as Gap 5 intensification.</t>
        </is>
      </c>
      <c r="D37" t="inlineStr">
        <is>
          <t>No new academic literature this entry (Day 3 = MACC refinement; literature ingestion deferred to Day 2 cycle). Re-anchored 5 refs from yesterday's batch: (i) #163 Tautorat et al. 2025 Applied Energy ROV — methodological scaffold for next Day 5 LCOA+ROV write-up; (ii) #164 For Our Climate 2025-06 H2 sourcing — drove POSCO 4-row decomposition; (iii) #165 GreenCentralBanking 2026-01 Asian taxonomy fragmentation — flagged for Day 4 Carbon_Pricing_Comparison column add; (iv) #166 Setouchi Ethylene LLP 2026-01/05 — drove petchem equity-split correction; (v) #167 JFE/Kobe CAPEX bundle — drove Priority 1 corrections. Web search confirmations (NEW today): (a) Kobe Steel Kakogawa scrap melter spec confirmed via SteelOrbis + Kallanish + Indexbox May 2026; (b) JFE-Itochu-Emirates Steel-AD Ports DRI JV 2.5Mtpa post-2027 confirmed via Argus + GMK Center + JFE PR (CAPEX share for JFE STILL not publicly disclosed → placeholder row in Tech_Portfolio_Split); (c) Korea 2030 H2 mix anchored via gov target announcements (940/750/250/1960 kt split); (d) Hydrogen pricing $3.40/$4.33/$4.56 per kgH2 anchored via Ko/Chang 2024 ScienceDirect (already #-class ref).</t>
        </is>
      </c>
      <c r="E37" t="inlineStr">
        <is>
          <t>여섯 high-salience CAP findings from Week 8 Day 3 (Wed 2026-05-27) MACC refinement: (1) KOBE KAKOGAWA = 'TRANSITION DECOY' EXEMPLAR. The May 2026 announcement is a textbook case for CAP's methodological critique: $670M 'decarbonization' CAPEX that explicitly preserves the BF asset by mixing scrap-melter output with BF hot metal in the converter. Annual-snapshot frameworks (TPI/SBTi) will likely score this as 'progress'; CAP's LCOA-with-asset-life framework exposes it as ~30-40% partial decarb at $25/tCO2 BLENDED, with the underlying BF asset campaign-extended to 2040+. This single datapoint is now the cleanest empirical hook for the Section 3 'why annual snapshots fail' argument in the working paper. (2) POSCO HYREX LCOA TRIPLES BETWEEN SCENARIOS A AND C. Grey-H2-dominant 2027-2032 phase implies ~$160/tCO2 LCOA (with full Scope 1+2 SMR burden); green-shift 2038+ end-state implies ~$85/tCO2. The factor-2 gap is endogenous to H2-sourcing pathway choice, which TPI's '1.5°C aligned' scoring assumes is scenario C from day one. CAP methodological contribution: H2-sourcing pathway MUST be a free parameter in LCOA, not a hidden assumption. Korea 2030 government H2 mix (940kt grey + 750kt blue + 250kt domestic green + 1.96Mt imported green) confirms scenario A is the operative reality through ~2032. (3) OFFSHORE-SHIFT PATTERN NOW COMPLETE FOR ALL 3 JP MAJORS. JFE-Emirates DRI JV update completes the picture: all three Japanese steel majors are deploying offshore reduced-iron procurement (JFE Abu Dhabi 2.5Mtpa, Kobe Oman HBI 2Mtpa, NSC USS $11B). Pattern: 'domestic decarb CAPEX' headline + offshore feedstock = domestic BF lock-in deferred. Gap 4 (overseas-shift) is no longer a Kobe-specific issue; it's a SECTOR-WIDE Japanese pattern. This deserves dedicated Section 4 treatment in the working paper. (4) SETOUCHI LLP ASYMMETRIC EQUITY SPLIT (45/45/10) IS A LCOA ALLOCATION TRAP. With Asahi at 10% but absorbing the Mizushima 550ktpa write-down, pro-rata 'per-company CAPEX' or 'per-company emissions' framings will misallocate by 4.5×. CAP's MIDDLE-layer MACC must use EQUITY-WEIGHTED CAPEX allocation, not participating-company-count allocation. This applies generally to JV-structured transition projects (cf. POSCO-JSW Odisha 50/50, HPLS Hyundai-POSCO, Kobe-Oman). New column candidate for Company_Tech_Mapping. (5) JFE EMIRATES JV CAPEX REMAINS UNDISCLOSED — DATA GAP CONFIRMED. After targeted search (Argus + Zawya + GMK Center + JFE PR), no public CAPEX figure for JFE's share. Placeholder row added with NULL CAPEX, but methodological note flagged. This is the ONLY remaining major undisclosed CAPEX item across the 5 steel companies — flag for Day 1 (Mon) primary-source DART/EDINET search. (6) KOBE AGGREGATE COMMITMENT NOW $1.72B ($1.05B revised decarb + $0.67B Kakogawa). The May 2025 budget cut ($2.09B→$1.05B) plus the May 2026 Kakogawa addition gives a clean 18-month oscillation: down 50% → back up 64% on revised baseline. Tautorat ROV framework (Ref #163) is the methodological scaffold for treating this as 'option-value preservation' rather than 'plan instability'. Day 5 brainstorm priority: write this up as the Section 3 case study for the LCOA+ROV hybrid.</t>
        </is>
      </c>
      <c r="F37" t="inlineStr">
        <is>
          <t>Action items for Week 8 Day 4 (Thu 2026-05-28, Carbon Pricing &amp; Policy Update): (a) Re-attempt K-ETS KAU25 spot refresh from KRX (Carbon Pulse + Reuters secondary if KRX direct blocked — deferred 2 weeks running); (b) Add 'Transition Taxonomy Alignment' qualitative score column to Carbon_Pricing_Comparison per Ref #165 (Japan permits coal optimization + ammonia co-firing as 'transition'); compare K-Taxonomy 2022 + Japan CT 2021 vs EU Taxonomy; (c) Ingest deferred Day 1 items: Carbon Pulse #403094 (POSCO K-ETS lobby) + InfluenceMap K-ETS 2025 report as formal Lit refs with Gap 3 endogenous-price tagging; (d) Recompute breakeven carbon prices for the 6 updated Tech_Portfolio_Split rows added today (Kobe Kakogawa, JFE Emirates DRI, POSCO H2 procurement + 3 LCOA scenarios) using K-ETS $11.5 + GX-ETS $20 + EU-ETS $80 anchors; (e) GX-ETS spot print monitor — first FY2026 trading day was 2026-04-01; check for May 2026 print availability. Action items for Week 8 Day 5 (Fri 2026-05-29, Brainstorm Synthesis): (f) Write 'LCOA + Real Options Premium' hybrid framework formally in CAP_Brainstorm_Notes.docx using Ref #163 Tautorat as anchor; (g) Write up Kobe Kakogawa 'transition decoy' case study as Section 3 candidate for working paper; (h) Write up Japanese offshore-shift pattern (JFE+Kobe+NSC) as Section 4 candidate; (i) Write up Setouchi LLP equity-weighted CAPEX allocation as a JV-structured-transition methodological subsection. Action items for Week 8 Day 6 (Sat 2026-05-30, Collaborator Tracking): (j) RE-ATTEMPT Kobe Steel SteelWatch Corporate Scorecard 2026 score (DEFERRED 3 weeks running); (k) RE-ATTEMPT USW District 13 + NAACP LA HPLS joint statement primary text (DEFERRED 2 weeks running). Working paper queue: Section 3 (Kobe Kakogawa + ROV); Section 4 (offshore-shift); Section 5 (JV equity-weighted LCOA).</t>
        </is>
      </c>
      <c r="G37" t="inlineStr">
        <is>
          <t>Completed (Day 3 MACC Analysis Refinement; Company_Tech_Mapping 5 cell-level appends — POSCO row 2, Hyundai row 3, NSC row 4, JFE row 5, Kobe row 6, MMA row 8; Tech_Portfolio_Split +7 new rows (Kobe Kakogawa scrap melter, JFE Emirates DRI JV placeholder, POSCO H2 procurement envelope, POSCO LCOA scenarios A/B/C, Setouchi LLP equity-weighted); Steel_MACC +1 new row (Scrap-Melter + BF Hybrid); BF_Relining_Asset_Life Kobe row updated + 1 new row (Kakogawa scrap melter); Weekly_Tracker +1 row; backup CAP_Technology_MACC_Analysis_pre2026-05-27.xlsx.bak saved). 3 deferred items rolled to Day 4/Day 6: K-ETS KAU25 spot, Kobe SteelWatch score, USW/NAACP LA HPLS statement. JFE Emirates DRI JV CAPEX flagged as the only remaining major undisclosed item.</t>
        </is>
      </c>
    </row>
    <row r="38">
      <c r="A38" t="inlineStr">
        <is>
          <t>Week 8 (Day 4)</t>
        </is>
      </c>
      <c r="B38" s="19" t="n">
        <v>46170</v>
      </c>
      <c r="C38" t="inlineStr">
        <is>
          <t>Day 4 Carbon Pricing &amp; Policy Update (Thu 2026-05-28, scheduled run). CAP_Technology_MACC_Analysis.xlsx → Carbon_Price_Scenarios: +1 new row Week 8 Day 4 snapshot + NEW COLUMN J 'Transition_Taxonomy_Alignment' added (per Day 3 deferred action item b) with qualitative scoring per Ref #165 GreenCentralBanking Asian Taxonomy fragmentation 2026-01. Sheet now 13 rows × 10 cols. PRICE TRIANGULATION (no fresh KAU25 print obtained week of May 22-28 — KRX direct still blocked, Carbon Pulse subscription wall, last confirmed Carbon Pulse CP Daily 2026-05-13 + S&amp;P/Reuters Mar/Apr highs): K-ETS spot ~$9.5-11.7 RANGE (KAU25 KRW 13,750-17,000); GX-ETS corridor ¥1,700-4,300 ($10.95-27.7) FY2026 BINDING since Apr 1 (METI Apr 2026 UNFCCC briefing PDF confirms FY2027-2030 = +CPI×3% annual escalator); EU-ETS late-May €75-77 range; 2026-05-26 close €75.51 (TradingEconomics); 2026-05-28 EUA Yearly futures €76.92 (Investing.com); CBAM Q1 2026 official €75.36 (EC 2026-04-07), Q2 indicative €70.50, official publication 2026-07-06. EVENT BUNDLE: (a) EC May 2026 leaked benchmark consultation slides (Carbon Pulse #482433) — STEEL benchmark totals UNCHANGED while chemicals/cement softened = EU steel political accommodation; (b) Free-alloc max reduction rate raised 1.6%→2.5% p.a. for 2026-2030 phase = mechanical compression of free allocations; (c) Climate Bonds Initiative DECLINED to certify subsequent Japan GX bonds citing ammonia co-firing incompatible with credible decarb pathway (GreenCentralBanking 2026-05-06); (d) POSCO Chairman Chang attended worldsteel Berlin GA Apr 13 advocating 'global solidarity' = code for CBAM exemption lobbying (Korea Times 2026-04-15); (e) TTI Korea CBAM Intelligence 2026 confirms POSCO carbon intensity 2.127 tCO2/t = 64% over EU benchmark 1.30 tCO2/t → 0.827 tCO2/t fully taxable from CBAM day-1, K-ETS deductible only €2.92/tCO2 (3.4% of EU reference) = STRUCTURAL EFFECTIVE-PRICE EROSION. NO Company_Data.xlsx changes this run (Day 4 = carbon pricing focus). Weekly_Tracker +1 row. Backup saved CAP_Technology_MACC_Analysis_pre2026-05-28.xlsx.bak.</t>
        </is>
      </c>
      <c r="D38" t="inlineStr">
        <is>
          <t>No new academic literature this entry (Day 4 = carbon pricing &amp; policy focus). Industry/policy sources cited in snapshot: TradingEconomics EU Carbon Permits live tracker; Investing.com EUA Yearly futures; S&amp;P Global Commodity Insights 2026-04-08 GX-ETS mandatory phase launch; METI UNFCCC briefing PDF April 2026 (https://unfccc.int/sites/default/files/resource/Session_02_01_Japan_GX-ETS.pdf); EC 2026-04-07 first CBAM certificate price publication; Carbon Pulse #482433 EU ETS benchmark consultation 2026; Carbon Pulse #469821 (Japan GX-ETS floor/ceiling); Korea Times 2026-04-15 POSCO Chang worldsteel Berlin; GreenCentralBanking 2026-05-06 (Japan transition bond ammonia co-firing); TTI Terawatt Times Korea CBAM Intelligence 2026 https://terawatttimes.org/cbam-country-intelligence-korea-2026/; Kallanish 2026 South Korea CBAM negotiation. Re-anchored existing references: #163 Tautorat·Iversen·Schmidt·Steffen 2025 (ROV under carbon-price uncertainty — directly applicable to current price-corridor analysis); #164 For Our Climate 2025-06 (POSCO H2 sourcing — links to K-ETS effective price); #165 GreenCentralBanking 2026-01 (Asian taxonomy fragmentation — drove new Transition_Taxonomy_Alignment column); InfluenceMap Korea ETS Corporate Influence report (#137-#144 batch — KOSA 100% free-alloc lobbying, POSCO carryover removal lobby) — partially fulfills Day 3 carry-over action c (ingest InfluenceMap K-ETS 2025 + Carbon Pulse #403094) — will be formally added as new Lit refs in Day 2 next week to avoid duplicating Day 3 records.</t>
        </is>
      </c>
      <c r="E38" t="inlineStr">
        <is>
          <t>여덟 high-salience CAP findings from Week 8 Day 4 (Thu 2026-05-28) carbon pricing pass: (1) **K-ETS PRICE-DATA OPACITY = METHODOLOGICAL CONSTRAINT** — three consecutive weeks (Week 6, 7, 8 Day 4) no fresh KAU25 spot print obtained from Carbon Pulse/OPIS subscription walls and KRX direct blocked. CAP must explicitly disclose this data-availability constraint in published methodology — moves to ROV-bounded sensitivity analysis ($9.5-11.7 corridor) rather than point estimate. **Vindicates Ref #163 (Tautorat 2025) ROV approach over deterministic NPV.** (2) **EU STEEL BENCHMARK POLITICAL CARVE-OUT** — May 2026 EC leaked slides keep steel benchmark totals unchanged while chemicals/cement softened. This is **EU industrial-policy capture mirror image** of K-ETS/GX-ETS allocations CAP critiques. Symmetry weakens 'EU as gold-standard' narrative used by TPI/SBTi. CAP can now claim: ALL three jurisdictions exhibit measurable regulatory capture — EU just at a higher absolute price level. (3) **CBI REJECTS JAPAN GX BONDS = TAXONOMY-LABEL DEGRADATION** — Climate Bonds Initiative declining to certify subsequent JP GX bonds citing ammonia co-firing (GreenCentralBanking 2026-05-06) is a **first-of-kind** label withdrawal from a sovereign transition bond program in Asia. Material for CAP: undermines JP transition-finance external validation; companies (NSC/JFE/Kobe) financed by GX bonds face higher post-2026 transition-bond pricing penalty. (4) **CBAM EFFECTIVE PRICE EROSION QUANTIFIED** — TTI 2026 €2.92/tCO2 K-ETS-deductible vs €73.1/t gross CBAM bill = 3.4% offset for KR steel. POSCO 0.827 tCO2/t benchmark penalty fully taxable. **This kills the 'K-ETS shields KR exports' political narrative** and creates an asymmetric price wedge between EU-bound and domestic KR steel shipments. (5) **TAXONOMY × CARBON-PRICE DOUBLE-HANDICAP** — new Transition_Taxonomy_Alignment column makes explicit: KR/JP taxonomies permit ammonia co-firing, LNG transitional, while EU TSC excludes — meaning ANNUAL-SNAPSHOT MACC frameworks that score against carbon price alone miss the institutional taxonomy gap that gates green-bond/sustainable-loan financing rates. CAP's Gap 3 + Gap 5 deepen. (6) **EFFECTIVE-PRICE CORRIDOR FOR CAP 12-COMPANIES (LOCKED for Q3 2026 write-up)** — POSCO/Hyundai $0.92/tCO2; LG/Lotte/SK/Hanwha $0.92/tCO2; NSC/JFE/Kobe $0.55-1.39/tCO2 effective; Mitsubishi/Mitsui/Asahi Kasei $0.55-1.39/tCO2 effective. **Headline number for CAP: 'No CAP-universe company sees effective carbon price above $2/tCO2 in FY2026 — orders of magnitude below the &gt;$50/tCO2 needed for steel decarb MACC intersection.'** (7) **K-MSR LOOSE-TRIGGER RISK** — K-MSR (Korea Market Stability Reserve) approved Apr 2026 but trigger thresholds remain wider than EU MSR equivalent. POSCO's carry-over-limit removal lobbying (per InfluenceMap Sep 2023 hearing testimony) means even Phase-4 surplus mechanisms get diluted. ROV pessimistic scenario: K-ETS spot stays $9-12 through 2030 → MACC intersection NEVER reached for blast-furnace-CCS at any CAP company. (8) **FY2027 GX-ETS CORRIDOR ESCALATOR** — +CPI×3% annual is METI's price-discovery formula; if FY2027 JP CPI prints ~2.5%, corridor rises to ¥1,793-4,536 = $11.6-29.4. Linear projection FY2030 = ¥1,963-4,964 = $12.7-32.2. **Still below H2-DRI MACC ($60-110/tCO2) breakeven for JP steel** — GX-ETS even at ceiling does NOT unlock H2-DRI economic case → confirms Toyofuku 2025 conclusion (Ref earlier batch).</t>
        </is>
      </c>
      <c r="F38" t="inlineStr">
        <is>
          <t>Action items for Week 8 Day 5 (Brainstorm Synthesis, scheduled Fri 2026-05-29): (a) Append CAP_Brainstorm_Notes.docx with Week 8 carbon-pricing synthesis section: lead with effective-price corridor headline ('No CAP-universe company sees effective carbon price &gt;$2/tCO2 in FY2026') + Transition_Taxonomy_Alignment column rationale + CBI Japan-GX-bond decertification narrative. (b) Develop LCOA-with-asset-life methodology framework: integrate ROV (Ref #163) + Effective Carbon Price (TTI 2026) + Taxonomy Alignment (Ref #165) into a single 3-axis composite score per company. (c) Identify next-week priorities: (i) Day 6 (Sat 2026-05-30) tracking — check for Simon Dietz / Ben Caldecott / Karplus new May-2026 publications + Transition Asia/SteelWatch new reports; (ii) ingest Carbon Pulse #403094 + InfluenceMap K-ETS 2025 briefing as formal Lit refs (#168, #169) in Week 9 Day 2 with Gap 3 tags. (d) Update CAP_MACC_Dashboard.html (Day 7 Sun 2026-05-31) to show carbon-price corridor visualization and Effective-Price-vs-Nominal-Price wedge chart for KR/JP companies. (e) Re-attempt KAU25 spot refresh via Carbon Pulse OR Reuters Energy Korea aggregator first week of June 2026.</t>
        </is>
      </c>
      <c r="G38" t="inlineStr">
        <is>
          <t>Completed (Day 4 Carbon Pricing &amp; Policy Update; Carbon_Price_Scenarios +1 row Week 8 Day 4 snapshot + NEW col J Transition_Taxonomy_Alignment added with 11 row tags per Ref #165; Weekly_Tracker +1 row Week 8 Day 4; backup CAP_Technology_MACC_Analysis_pre2026-05-28.xlsx.bak saved). 3 deferred items rolled to Day 5 (Brainstorm synthesis: LCOA+ROV+Taxonomy 3-axis composite) and Week 9 Day 2 (formal Lit refs #168 Carbon Pulse #403094 + #169 InfluenceMap K-ETS 2025). KAU25 fresh spot print STILL DEFERRED — 3rd consecutive week — flag for next-cycle KRX-direct attempt or Reuters Energy Korea licensed feed.</t>
        </is>
      </c>
    </row>
    <row r="39">
      <c r="A39" t="inlineStr">
        <is>
          <t>Week 8 (Day 5)</t>
        </is>
      </c>
      <c r="B39" s="19" t="n">
        <v>46171</v>
      </c>
      <c r="C39" t="inlineStr">
        <is>
          <t>Day 5 Brainstorm Synthesis (Fri 2026-05-29): Brainstorm Notes에 9 sections 추가 — Week 8 한줄요약, LCOA_AL 정식화 (asset-life-adjusted), ROV overlay (Tautorat 2025 + Fuchs 2024 Carbon VIX), Taxonomy CoC penalty axis, Score_CAP composite v0.1 (w_L=0.5/w_R=0.3/w_T=0.2), 3 worked examples (Kobe Kakogawa transition-decoy / POSCO HyREX H2-sourcing factor-2 / Setouchi 10-45-45 asymmetry).</t>
        </is>
      </c>
      <c r="D39" t="inlineStr">
        <is>
          <t>+4 lit anchors (deferred ingest Week 9 Day 2): #171 Fuchs Stroebel Terstegge 2024 'Carbon VIX' NBER WP32937 (Gap 3+5); #172 Columbia CGEP 2020 LCCA methodology (Gap 1+4); #173 ACS EST 2025 chemical scenario modeling (Gap 1+4); #174 PMC steel decarbonization cost pathways (Gap 1).</t>
        </is>
      </c>
      <c r="E39" t="inlineStr">
        <is>
          <t>Section 5 working paper thesis lock-in: 'carbon-price-only views capture ~1/3 of the true transition-finance risk surface'. Korean/Japanese context — Carbon-price channel deeply suppressed (free allocation, effective &lt;$2/tCO2 lock-in); Taxonomy/CoC channel starting (~+50bp Δr); ROV channel dominant (high σ_p + BF asset-life lock-in).</t>
        </is>
      </c>
      <c r="F39" t="inlineStr">
        <is>
          <t>Week 9 priorities: (D1 Mon 6/1) KAU25 4주차 + BF salvage book-value extraction; (D2 Tue 6/2) 4 new refs + 3 deferred refs ingest with Gap tags; (D3 Wed 6/3) LCOA_AL formula implementation in Tech_Portfolio_Split + Score_CAP v0.1 cross-section; (D4 Thu 6/4) K-ETS Phase 4 free-alloc schedule + CBAM Q2 official; (D5 Fri 6/5) Score_CAP v0.2 calibrated + Section 5 draft; (D6 Sat 6/6) Dietz/Caldecott/Hepburn/Karplus/Jenkins June pubs + MPP 2026 mid-year; (D7 Sun 6/7) Dashboard radar chart for 3-axis composite.</t>
        </is>
      </c>
      <c r="G39" t="inlineStr">
        <is>
          <t>Done</t>
        </is>
      </c>
    </row>
    <row r="40">
      <c r="A40" t="inlineStr">
        <is>
          <t>Week 8 (Day 6)</t>
        </is>
      </c>
      <c r="B40" s="19" t="n">
        <v>46172</v>
      </c>
      <c r="C40" t="inlineStr">
        <is>
          <t>No new company data this entry (Day 6 = Collaborator &amp; Publication Tracking focus). Cross-reference work only: (a) #170 Karplus open-source H2-DRI framework — Tech_Portfolio_Split의 POSCO HyREX·Hyundai HBI·JFE Kurashiki H2-DRI rows에 cost validation hook 표시; (b) #175 He·Atouife·Jenkins 2026 EES multi-stage flexibility (LCOS −6~−10%) — Steel_MACC 의 H2-DRI cost row 에 'flex-discount sensitivity' 컬럼 추가 후보; (c) #176 Karplus BF heterogeneity — BF_Relining_Asset_Life 에 'Operational_Variability_Range_kgCO2e/tcs' 컬럼 후보 표시; (d) #179 Tokyo Review/Transition Asia Japan H2 geopolitics — Company_Tech_Mapping JP rows (Nippon/JFE/Kobe)에 'Supply_Chain_Risk_∆r' note 후보. Data 갱신 0건, 메타데이터 후보 4건 식별.</t>
        </is>
      </c>
      <c r="D40" t="inlineStr">
        <is>
          <t>8 new references added to CAP_Literature_References.xlsx (#168, #169, #170, #175, #176, #177, #178, #179 — #171-#174 reserved for Day 5 deferred Carbon VIX/Columbia LCCA/ACS petchem/PMC steel pathways). 핵심 신규: (A) **#168 Campiglio·Dietz·Venmans 2026 'Optimal Climate Policy As If the Transition Matters' Grantham WP 387 / CEPR 21440** — adjustment-cost DSGE 가 CAP LCOA_AL 의 macro-theoretical anchor + Dietz=TPI Research Director (CAP critique target framework provider 와 동일인). (B) **#169 Dietz·Hastreiter 2026-04-28 GRI WP 446 'Corporate Net Zero Targets'** — empirical 'neither greenwashing nor a gamechanger' finding → CAP Gap 1/5 motivation 의 empirical hook. (C) **#170 Karplus·Wang·Skerlos 2026-01 open-source H2-DRI framework (CMU)** — process-engineering MACC sub-tech 분해 + reproducibility tool. (D) **#175 He·Atouife·Jenkins 2026 Energy &amp; Environmental Science Vol.19:2874-2888 'Unlocking Multi-Stage Flexibility...China'** — 가장 actionable academic anchor for H2-DRI-EAF LCOS −6~−10% flexibility discount. (E) **#176 Karplus 2026-01-20 CMU MSE BF heterogeneity** — near-zero-CAPEX operational abatement layer 신규. (F) **#177 Wagner 2026-01-22 Milken Review 'Cementing Carbon'** — cement scope-extension trigger + 'CAP6' Carbon Asset Pricing naming/positioning issue. (G) **#178 Conference cluster (ACS HK 7/7-9, Industrial Net Zero &amp; Decarb Europe Berlin 11/25-26, Reuters IDE, Carbon Capture Global Summit)** — CAP working-paper dissemination venues. (H) **#179 Tokyo Review 2026-05 + Transition Asia 'Japan green steel paradox'** — JP H2 supply-chain geopolitical premium 정량화 근거.</t>
        </is>
      </c>
      <c r="E40" t="inlineStr">
        <is>
          <t>여덟 high-salience CAP findings from Week 8 Day 6 (Sat 2026-05-30) Collaborator &amp; Publication Tracking: (1) **DIETZ DUAL HIT** — Simon Dietz (LSE/TPI Research Director) 가 2026년에만 2건의 highly-relevant WP (#168, #169) 출판; #168은 CAP의 LCOA_AL 식의 macro DSGE foundation, #169는 CAP의 Gap 1 motivation 의 empirical hook. CAP positioning narrative 가능 — 'TPI 도 transition cost adjustment 를 모델링하는데 왜 corporate scoring (TPI MQ) 단계에서는 CAPEX cost-efficiency 가 누락되었나?'. (2) **KARPLUS DUAL HIT** — Valerie Karplus (CMU) 가 2026년 1월에 2건 (#170 open-source H2-DRI framework + #176 BF heterogeneity) — 개별 항목이지만 같은 group; CAP의 MICRO layer 와 framework 호환성 매우 높음. CMU EPP/Scott Institute 가 industrial-decarb research community 의 hub. (3) **JENKINS GROUP EES BREAKTHROUGH** — #175 He·Atouife·Jenkins (et al.) 2026 Energy &amp; Environmental Science Vol.19:2874-2888: multi-stage flexibility joint optimization → LCOS −6~−10%. CAP Steel_MACC 의 H2-DRI cost 추정이 baseline-config 가정에 매여 있음을 명시화 — flex-discount sensitivity column 추가 필요성 확정. Atouife (Princeton ZERO Lab) PhD student 가 향후 collaborator 후보. (4) **WAGNER CAP6 ACRONYM CONFLICT** — Gernot Wagner (Columbia) 의 Carbon Asset Pricing 모델 (CAP6)이 CAP-CAPEX 프로젝트와 acronym 충돌; #177 'Cementing Carbon' Milken Review로 cement-decarb 관여 확인. CAP working paper에 'CAP = Capital Allocation Pathway, distinct from Wagner CAP6 Carbon Asset Pricing' 명시 필요. (5) **HEPBURN/CALDECOTT 2026 SIGNAL WEAK** — Cameron Hepburn (Oxford), Ben Caldecott (Oxford) 의 2026 단독 신규 highly-relevant WP 미발견; 기존 #160 Caldecott Sustainable Finance Centre 활동 (2026-3-25 Summit) 유지. 두 author 의 2026 Q3-Q4 신규 publication 모니터링 priority 유지. (6) **HK ACS 2026 (7/7-9) HARDDATE** — IETA 주관 Asia Climate Summit Hong Kong 7월 7-9일 = K-ETS/GX-ETS/CN-ETS 통합 transition-credit 토론 — CAP의 Gap 3 (carbon pricing integration) 발표 venue 후보 #1. (7) **JAPAN GREEN STEEL PARADOX = GEOPOLITICAL RISK PREMIUM** — Tokyo Review 2026-05 + Transition Asia 보충 (#179): H2 demand 7-20 Mt vs supply 20 Mt (steel sector 단독 100%) → JP green-steel H2 price baseline 대비 +20-40% sensitivity. JFE-Emirates Steel UAE DRI JV (#167) supply-chain risk = LCOA_AL 의 r 위 country/route premium +50-100bp 정당화. (8) **STEELWATCH 2026 SCORECARD CONFIRMATION** — 18-company global assessment, none &gt;50/100; Hyundai Steel 21.2 / Nippon Steel 16.8 / HBIS 8.3 — CAP의 Korean+Japanese steel CAPEX scoring 의 NGO comparative anchor (#158 이미 등재, today 재확인).</t>
        </is>
      </c>
      <c r="F40" t="inlineStr">
        <is>
          <t>Action items for Week 8 Day 7 (Sun 2026-05-31, Dashboard &amp; Visualization Update): (a) **HIGHEST PRIORITY — Dashboard에 Dietz #168/#169 citation 1줄 추가** (Methodology Foundation 섹션). (b) **Steel_MACC H2-DRI rows 에 'Flex-Discount Sensitivity (−6~−10% per He·Atouife·Jenkins 2026 EES)' annotation 컬럼 표시** — 정식 수치 적용은 Week 9 Day 3 MACC refinement 에서 진행. (c) **Tech_Portfolio_Split 의 POSCO HyREX·Hyundai HBI·JFE Kurashiki·JFE Emirates rows 에 #170 Karplus framework cross-validation note + #175 EES flex-discount cross-link.** (d) **Company_Tech_Mapping JP rows (Nippon/JFE/Kobe) Note 컬럼에 'Supply_Chain_Risk_∆r ~50-100bp (per #179 Tokyo Review 2026-05)' 추가 후보 표시** — 적용은 Day 4 carbon-pricing pass 에서. (e) CAP_MACC_Dashboard.html footer 'CAP6 (Wagner Columbia) ≠ CAP (Capital Allocation Pathway, PLANiT)' 단주 1줄 추가. **Week 9 Day 6 (6/6) priority preview**: Cameron Hepburn (Oxford) Q3-Q4 publication watch, Caldecott Oxford SF Centre 6월 newsletter 점검, ACS 2026 HK agenda PDF ingest, INET Oxford WP series 신규 점검.</t>
        </is>
      </c>
      <c r="G40" t="inlineStr">
        <is>
          <t>Completed (Day 6 Collaborator &amp; Publication Tracking; 8 new refs #168-#170 + #175-#179 added covering Dietz Grantham/CEPR 2026 dual hit, Karplus CMU dual hit, Jenkins EES H2-DRI flexibility, Wagner Milken cement, 2026-H2 conference cluster, JP green-steel paradox; #171-#174 reserved for Day 5 deferred queue; Weekly_Tracker +1 row; backups CAP_Brainstorm_Notes_pre2026-05-30.docx.bak + CAP_Literature_References_pre2026-05-30.xlsx.bak + CAP_Technology_MACC_Analysis_pre2026-05-30.xlsx.bak created)</t>
        </is>
      </c>
    </row>
    <row r="41">
      <c r="A41" t="inlineStr">
        <is>
          <t>Week 8 (Day 7)</t>
        </is>
      </c>
      <c r="B41" s="19" t="n">
        <v>46173</v>
      </c>
      <c r="C41" t="inlineStr">
        <is>
          <t>CAP_MACC_Dashboard.html refresh — Week 8 Day 7 build: Section 0 refresh log replaced (May 24 → May 31); Sections 14-17 added (LCOA+ROV+α+Δr_geo framework; Kakogawa transition-decoy chart; POSCO HyREX LCOA A/B/C $160/$115/$85 chart; Setouchi 45/45/10 equity-weighted CAPEX chart). 3 new Chart.js renderers (kakogawaChart, hyrexScenarioChart, setouchiChart). Header meta updated to K-ETS $9.53-11.7 / GX-ETS $11.0-27.7 / EU-ETS $83.6. CAP6 acronym disambiguation footer added (Wagner Columbia ≠ PLANiT). Dietz #168/#169 citation hooks in Section 14 + footer.</t>
        </is>
      </c>
      <c r="D41" t="inlineStr">
        <is>
          <t>Built on 12 refs added during Week 8 (#163-#170, #175-#179). Dashboard now cross-links Tautorat 2025 (#163) + Campiglio/Dietz/Venmans 2026 (#168) + Dietz/Hastreiter 2026 (#169) + Karplus 2026 dual hit (#170 + #176) + He/Atouife/Jenkins EES 2026 (#175) + Wagner Milken 2026 (#177, CAP6 disambiguation) + JP green-steel paradox (#179).</t>
        </is>
      </c>
      <c r="E41" t="inlineStr">
        <is>
          <t>Week 8 Day 7 dashboard refresh COMPLETE — five Day 6 priority hooks now wired in: (a) Dietz citation in Section 14 + footer; (b) CAP6 acronym disambiguation in header meta + footer; (c) H2-DRI flex-discount annotation in Section 16 LCOA scenarios (Jenkins EES 2026 −6/−10% LCOS); (d) Karplus BF heterogeneous-ops cross-link in Section 14; (e) JP geopolitical premium (Δr_geo +50-100bp + H2 cost +20-40%) in Section 16 LCOA-scenarios footnote. New LCOA v0.3 equation formalized: LCOA_total = LCOA_static + Φ(σ_carbon, σ_electricity, t_decision) + (1−α_equity)×CAPEX_JV + Δr_geo×CAPEX_offshore. POSCO HyREX H2-sourcing factor-1.9 spread quantified ($160 → $85). Kakogawa headline 1.26 MtCO2/yr vs CAP-adjusted 0.44 MtCO2/yr exposes ~65% framework over-attribution. Setouchi 45/45/10 = empirical hook for (1−α_equity) term: 3× framework over-crediting at risk under per-company-count default.</t>
        </is>
      </c>
      <c r="F41" t="inlineStr">
        <is>
          <t>Week 9 Day 1 (Mon 6/1) priorities: JFE Emirates DRI JV CAPEX share — primary-source DART/EDINET search (only remaining major undisclosed data gap across 5 steel cohort). Week 9 Day 3 (Wed 6/3): build Steel_MACC flex-discount sensitivity column per Jenkins EES 2026 #175. Week 9 Day 4 (Thu 6/4): KAU25 fresh spot via KRX-direct (4th consecutive week deferred). Week 9 Day 5 (Fri 6/5): brainstorm — codify α_equity_data column in Tech_Portfolio_Split.</t>
        </is>
      </c>
      <c r="G41" t="inlineStr">
        <is>
          <t>Completed (Day 7 Dashboard &amp; Visualization Update; CAP_MACC_Dashboard.html: Section 0 refresh log Week 7→Week 8; Sections 14-17 added with 3 new Chart.js renderers; header meta + footer updated with CAP6 disambiguation + Dietz citation; backup CAP_MACC_Dashboard_pre2026-05-31.html.bak saved; Weekly_Tracker +1 row; Brainstorm_Notes +1 entry; backups CAP_Technology_MACC_Analysis_pre2026-05-31.xlsx.bak + CAP_Brainstorm_Notes_pre2026-05-31.docx.bak created).</t>
        </is>
      </c>
    </row>
    <row r="42">
      <c r="A42" t="inlineStr">
        <is>
          <t>Week 9 (Day 1)</t>
        </is>
      </c>
      <c r="B42" s="19" t="n">
        <v>46174</v>
      </c>
      <c r="C42" t="inlineStr">
        <is>
          <t>Day 1 Data Enhancement (Mon 2026-06-01, scheduled run). CAP_Company_Data.xlsx updated — 7 cell-level appends (Steel: POSCO row 2, Hyundai row 3, JFE row 5; Petrochem: LG Chem row 2, Lotte row 3, SKGC row 4, Hanwha row 5, Mitsubishi row 6, Mitsui row 7, Asahi row 8) + Notes sheet Week 9 Day 1 block append (9 numbered items). MARQUEE NEW DATAPOINTS: (1) **MITSUBISHI CHEMICAL GROUP PETROCHEMICALS SPIN-OFF announced 2026-05-26** (Nippon.com / C&amp;EN / Hydrocarbon Processing / BIC Magazine / chemengconsulting / Globe and Mail-Tipranks) — spin off Mitsubishi Chemical Corp's Basic Materials petrochem unit into wholly-owned subsidiary, complete by FY end 2028-03-31, anchored to KAITEKI Vision 35. Now THREE distinct restructuring archetypes in CAP universe: Korean JV-consolidation, Japanese cross-firm JV (Setouchi 45/45/10), Japanese intra-firm spin-off (MCG Basic Materials). (2) **HORMUZ STRAIT NAPHTHA FORCE-MAJEURE CASCADE (Mar-Apr 2026, Iran war)**: YNCC declared FM first 2026-03-06 (SEDaily/KEDGlobal), LG Chem/Lotte/Hanwha cascaded Apr 4+ (Reuters via TradingView). ~25% of Korea naphtha imports transit Hormuz; naphtha +25% Mar 27→Apr 3 ($590→$737/t). Real-time validation of Δr_geo×CAPEX_offshore term in LCOA equation. (3) **KFTC PROBE 2026-05-14** on LG Chem + Hanwha + OCI + Aekyung Chemical for PVC/plasticizer price-coordination during naphtha crunch (alphabiz / MLex / BusinessKorea). Same-day as Hanwha rights-offering third-amended prospectus filing — sequencing flag. (4) **MITSUI CHEMICALS FY2025 EARNINGS CALL 2026-05-28** — JPY 15.0B negative impact projected FY2026 from Middle East/naphtha pass-through; dividend maintained pending visibility. (5) **ASAHI KASEI FY2026 FORECAST** net profit Y160B / OP Y248B improved vs FY2025 despite Mizushima SM/HDPE/LDPE/AN/PC-diol exit — diversification offset. (6) **HPLS LOUISIANA OWNERSHIP CONFIRMED** via Danieli PR / Steel Market Update 2026-05-08: Hyundai Steel 50% / Hyundai Motor 15% / Kia 15% / POSCO 20%. Danieli + Tenova ENERGIRON DRI 'hydrogen-ready' + CCS; ops 2029. (7) **JFE-Itochu-Emirates Steel DRI JV** — 2.5 Mt/yr ops AFTER 2027 (delayed); ~50% of new-facility ferrous needs. **JFE CAPEX share STILL not publicly disclosed** in primary sources (Argus / Zawya / JFE 2023 PR / Apr 2025 Kurashiki FID press) — confirms Week 8 Day 7 carry-forward priority gap. (8) **POSCO HyREX Pohang 300kt demonstration plant** target ops 2028 = 0.8% of ~38 Mtpa crude steel = quantified demo-to-commercial gap. Gwangyang 2.5Mtpa EAF construction 2024-25 complete, ops 2026.</t>
        </is>
      </c>
      <c r="D42" t="inlineStr">
        <is>
          <t>Day 1 = Data Enhancement focus; NO new formal Lit refs added (literature ingestion deferred to Day 2 Tue 2026-06-02 cycle). Industry/PR/news sources cited in today's snapshot for record: Nippon.com / C&amp;EN 2026-05 / Hydrocarbon Processing 2026-05 / BIC Magazine / chemengconsulting 2026-05-26&amp;27 / Globe and Mail-Tipranks (MCG spin-off); SEDaily 2026-03-06 / KED Global 2026-03-06 / Reuters via TradingView 2026-04 / MarketScreener / Herbert Smith Freehills Kramer Mid-East FM note (Hormuz cascade); alphabiz.co.kr 2026-05-14 / MLex 2026-05 / BusinessKorea (KFTC probe); us.mitsuichemicals.com event_260528e.pdf (Mitsui FY2025 call); ICIS 2026-05-12 / Chemical Processing / C&amp;EN / Tipranks (Asahi FY2026 forecast + Mizushima exit recap); Danieli PR 2026-05 / Steel Market Update 2026-05-08 / FuelCellsWorks 2026-05-05 / Recycling Today / Megaproject / steelradar / Hyundai PR (HPLS ownership confirmation); Argus 2581242 / Zawya / Greensteelworld / IEEFA MENA / GMK Center / JFE 2023-07-18 PR (Emirates DRI JV); GMK Center / IndexBox / SeDaily / SteelOrbis / POSCO Newsroom (HyREX construction). DEFERRED for Day 2 (Tue 6/2) formal ingestion: #171-#174 reserved set (Carbon VIX / Columbia LCCA / ACS petchem / PMC steel pathways) carry-forward from Week 8 Day 5 + #168-#169 Carbon Pulse #403094 + InfluenceMap K-ETS 2025 also still queued from Week 8 Day 4.</t>
        </is>
      </c>
      <c r="E42" t="inlineStr">
        <is>
          <t>Six high-salience CAP findings from Week 9 Day 1 (Mon 2026-06-01) data scan: (1) **CAP universe now hosts THREE distinct petchem-restructuring archetypes**, freshly anchored by MCG spin-off (2026-05-26): Korean JV-consolidation (Lotte+YNCC, LG+GS Caltex) ≠ Japanese cross-firm JV (Mitsui/Mitsubishi/Asahi Setouchi 45/45/10) ≠ Japanese intra-firm spin-off (MCG Basic Materials). All three lower parent-company book carbon intensity WITHOUT necessarily reducing absolute physical asset emissions — exactly the Gap 5 transition-taxonomy artefact CAP critiques. LCOA_AL must distinguish the three archetypes since each carries different residual-equity-exposure to legacy assets. **Working-paper hook: this becomes a new Section 4 candidate subsection (alongside JP offshore-shift) — 'Three Restructuring Archetypes and Their Decarbonization Optical Footprint'.** (2) **Hormuz-Strait FM cascade is a real-time empirical anchor for the Δr_geo×CAPEX_offshore term** in the LCOA equation (locked Week 8 Day 5). YNCC→LG→Lotte→Hanwha cascade timing within 4 weeks of Iran war onset, and naphtha +25% in 7 days, shows exogenous geopolitical shock channel propagates DIRECTLY to Korean petchem OPEX and cracker availability. **SKGC's asymmetric NON-declaration of FM** (per public record at time of search) is informative — likely tied to its dual-track ethane-shift / cracker-shutdown evaluation. This validates retaining the ethane-shift as a 'Gap 5 ambiguity' rather than reclassifying as full transition. (3) **KFTC probe creates regulatory-overhang on the same Q1 2026 'transient one-off' OP recoveries** that Korea Times 2026-05-05 flagged. Material implication for CAP: the Hanwha rights-offering use-of-proceeds analysis (KRW 907.7B FACILITY CAPEX / KRW 906.7B DEBT REPAYMENT) now sits in a worsened risk environment, since the same-day timing (2026-05-14) between KFTC raid and Hanwha third-amended prospectus is itself an information-asymmetry/disclosure-quality signal. (4) **JFE Emirates DRI JV CAPEX share REMAINS the single largest publicly-undisclosed CAPEX item across the 5 steel cohort.** Today's targeted search confirms the Week 8 Day 3 + Day 7 carry-forward gap — Argus, Zawya, GMK Center, JFE 2023 PR, AIST coverage, IEEFA MENA all silent on JFE's specific equity contribution; the JV is structurally JFE-OFFTAKE + Itochu-PROCUREMENT + Emirates-PRODUCTION, with the offtake side carrying no formal CAPEX disclosure obligation. **This is now a recurring data-pull from DART/EDINET filings — flag for Day 1 next week again.** (5) **POSCO HyREX 300kt / ~38 Mtpa = 0.8% capacity-coverage quantification at 2028 demo milestone** provides a clean numerical anchor for the 'demo-to-commercial gap' argument in CAP working-paper Section 3. This number can be paired with the Pohang complex extension 2030→2041 (Week 5 datapoint) to show institutional time horizons explicitly accommodate the gap — i.e. the government-level zoning extension PRESUMES a 10+ year demo-to-commercial transition, not the 2030 TPI-MQ-aligned timeline. (6) **The Mitsui Y15B and Asahi Y160B FY2026 guides together constitute a clean cross-section of how Setouchi 45/45/10 equity-weighted exposure differs from CAPEX-defaulted naive 1/3 weighting.** Mitsui (45% equity) absorbs the Y15B naphtha-cracker pass-through directly via Osaka Petrochemical Industries consolidated subsidiary; Asahi (10% equity) sees diversification offset its share. **Working-paper hook: Mitsui-vs-Asahi FY2026 guidance diff is the cleanest single empirical illustration that EQUITY-WEIGHTED rather than equal-weight CAPEX allocation is methodologically necessary for Setouchi-class JVs.**</t>
        </is>
      </c>
      <c r="F42" t="inlineStr">
        <is>
          <t>Action items for Week 9 Day 2 (Tue 2026-06-02, Literature Search): (a) **HIGHEST PRIORITY — formal Lit ingestion** of today's 6 marquee narrative sources as new Lit ref entries with Gap tags: MCG spin-off bundle (C&amp;EN / Hydrocarbon Processing / Nippon.com) → new Gap 5 ref; Hormuz-FM bundle (SEDaily / KED Global / Reuters / Herbert Smith Freehills Kramer) → new Gap 6 ref; KFTC raid (alphabiz / MLex) → new Gap 6 sub-ref. (b) Continue search for: stranded-asset finance papers (Caldecott Oxford), MACC integration WPs published May 2026, K-ETS Phase 4 academic analysis. (c) Roll over from Week 8 deferred queue: #171 Fuchs Carbon VIX 2024, #172 Columbia CGEP LCCA 2020, #173 ACS EST 2025 petchem scenarios, #174 PMC steel decarb pathways + #168 Carbon Pulse #403094 + #169 InfluenceMap K-ETS 2025. Action items for Week 9 Day 3 (Wed 2026-06-03, MACC Refinement): (d) Build Steel_MACC 'Flex-Discount Sensitivity' column per Jenkins EES 2026 (#175); (e) Codify α_equity column in Tech_Portfolio_Split for JV-structured projects (Setouchi 45/45/10, HPLS Hyundai 50/POSCO 20/Hyundai Motor 15/Kia 15, POSCO-JSW Odisha 50/50); (f) Quantify the 'demo-to-commercial gap' for POSCO HyREX as 300kt/38Mtpa = 0.8% — add as Notes annotation on Tech_Portfolio_Split POSCO HyREX rows. Action items for Week 9 Day 4 (Thu 2026-06-04, Carbon Pricing): (g) **4th consecutive attempt** KAU25 fresh spot via KRX-direct OR Reuters Energy Korea licensed feed; (h) CBAM Q2 official €/tCO2 publication scheduled 2026-07-06 — pre-record current Q2 indicative €70.50. Action items for Week 9 Day 5 (Fri 2026-06-05, Brainstorm Synthesis): (i) Draft Section 4 'Three Restructuring Archetypes' subsection using MCG-spin-off datapoint + Setouchi JV + Korean YNCC merger; (j) Document the Mitsui-vs-Asahi FY2026-guidance diff as the equity-weighted-allocation methodological case. **Working paper queue (running)**: Section 3 (Kobe Kakogawa + ROV); Section 4 (offshore-shift + restructuring archetypes); Section 5 (JV equity-weighted LCOA + Score_CAP composite v0.1).</t>
        </is>
      </c>
      <c r="G42" t="inlineStr">
        <is>
          <t>Completed (Day 1 Data Enhancement; CAP_Company_Data.xlsx 7 cell-level appends across Steel_Companies + Petrochemical_Companies sheets + Notes sheet Week 9 Day 1 block append; Weekly_Tracker +1 row; backups CAP_Company_Data_pre2026-06-01.xlsx.bak + CAP_Technology_MACC_Analysis_pre2026-06-01.xlsx.bak created). Deferred items now standing: JFE Emirates DRI JV CAPEX (5th-consecutive carry-forward); KAU25 fresh spot (4th-consecutive carry-forward); 6 deferred Lit refs (Week 8 Day 5+Day 6 carry-forward to Day 2 Tue) + 3 new Lit refs queued from today (MCG/Hormuz/KFTC). Working-paper Section 4 narrative now has a concrete second subsection candidate (Three Restructuring Archetypes) beyond the offshore-shift subsection.</t>
        </is>
      </c>
    </row>
    <row r="43">
      <c r="A43" t="inlineStr">
        <is>
          <t>Week 9 (Day 2)</t>
        </is>
      </c>
      <c r="B43" s="19" t="n">
        <v>46175</v>
      </c>
      <c r="C43" t="inlineStr">
        <is>
          <t>Day 2 Literature Search (Tue 2026-06-02, scheduled run). NO Company_Data.xlsx 변경 (Day 2 = 문헌 ingestion focus). CROSS-REFERENCE WORK ONLY: (a) #180 Carbon VIX (Fuchs·Stroebel·Terstegge 2024 NBER 32937) → Tech_Portfolio_Split의 σ_carbon column 에 EUA-VIX option-implied estimate 활용 후보 표시 (Day 3 적용); (b) #181 Friedmann CGEP LCCA 2020 → BF_Relining_Asset_Life 의 asset-life timing 항이 Friedmann 의 timing dimension 의 정량 확장임 footnote 후보; (c) #182 Hellweg et al. 2025 ACS EST chemical scenario → Petrochem_MACC 의 olefin/aromatic/methanol/ammonia rows 와 cross-validate 필요 (Week 9 Day 3); (d) #183 Stranded Futures 2026 ERSS → BF_Relining_Asset_Life + Tech_Portfolio_Split 의 'technological lock-in × policy stringency × carbon-price × asset-age' 4-axis 정당성 anchor; (e) #184 Carbon Pulse #403094 + #185 InfluenceMap K-ETS → Carbon_Pricing_Comparison 의 effective-price erosion 의 lobbying-attributable footnote (Day 4 적용); (f) #186 MCG spin-off → Company_Tech_Mapping Mitsubishi row 에 FY2028-03-31 spin-off timeline + Basic Materials product scope (olefin/aromatic/MMA); (g) #187 Hormuz FM cascade → Company_Tech_Mapping LG/Lotte/Hanwha/SKGC rows 에 FM-date + naphtha-share columns; (h) #188 KFTC probe → LG/Hanwha rows 에 KFTC_2026_Probe_Status note column. 데이터 갱신 0건, 메타데이터 후보 8건 식별.</t>
        </is>
      </c>
      <c r="D43" t="inlineStr">
        <is>
          <t>9 new references added (#180-#188), 6 deferred 항목 100% clear + 3 fresh Day 1 narrative bundles formalize. **METHODOLOGICAL/ACADEMIC (4)**: **#180 Fuchs·Stroebel·Terstegge 2024 NBER WP32937 'Carbon VIX'** — EUA option market σ_carbon 의 market-data anchor; LCOA+ROV hybrid framework 의 σ_carbon parameter estimation 에 직접 사용; Tautorat 2025 (#163) simulation 의 empirical pair (Gap 1,3,5). **#181 Friedmann·Fan·Tang 2020 Columbia CGEP LCCA** — CAP의 LCOA terminology root + hard-to-abate $200/t×75% rule + asset-level geography/timing/infrastructure 통합 — CAP working paper Section 2 Methodology 의 가장 직접 intellectual ancestor (Gap 1,2,4). **#182 Hellweg et al. 2025 ACS EST 'Decarbonizing Basic Chemicals'** — 2,600+ plant-level scenario for olefin/aromatic/methanol/ammonia/chlor-alkali; CAPEX +18-25% vs BAU; Asia coverage = 중국 only → KR/JP gap = CAP value-add (Gap 1,2,4). **#183 'Stranded Futures?' 2026 ERSS** — 2026 Q1-Q2 freshest peer-reviewed: technological lock-in × policy × carbon-price × asset-age 4-axis interaction model; Caldecott Oxford lineage; CAP Gap 4+5 의 최신 empirical anchor (Gap 1,4,5). **K-ETS LOBBYING DOCUMENTATION (2)**: **#184 Carbon Pulse #403094 (2024-09)** — POSCO 10% lobbying evidence share documentation; carryover-removal demand = K-MSR loose-trigger risk mechanism (Gap 3,5). **#185 InfluenceMap K-ets-2025-32674 2024-09** — 230+ documented instances / 15 years; steel sector 20% + KCCI 17% lobbying concentration; Phase 1→3 free-allowance ~+10% drift 정량화; POSCO/Hyundai 'positive climate statements + negative K-ETS engagement' greenwashing-gap empirical evidence (Gap 3,5). **DAY 1 MARQUEE NARRATIVE FORMALIZATION (3)**: **#186 MCG Basic Materials spin-off 2026-05-26** — CAP universe 3번째 restructuring archetype (JV-consolidation/cross-firm JV/intra-firm spin-off); FY2028-03-31 target; KAITEKI Vision 35 anchor; 'Japan economic security' framing = #179 Tokyo Review 와 cross-sector 일치 (Gap 1,4,5). **#187 Hormuz Strait FM cascade 2026 Q1-Q2** — YNCC→LG→Lotte→Hanwha 4-week cascade; ~50% naphtha surge ($590→$875/t); LCOA_AL 의 Δr_geo×CAPEX_offshore term real-time empirical validation; SKGC asymmetric non-declaration = Gap 5 ambiguity 유지 (Gap 4,5). **#188 KFTC PVC/plasticizer probe 2026-05-14** — LG+Hanwha+OCI+Aekyung raid; Hanwha rights-offering 3rd amended prospectus same-day timing = disclosure-quality signal; Score_CAP composite v0.2 의 governance dimension Δr_gov ~+25bp 추가 candidate (Gap 4,5).</t>
        </is>
      </c>
      <c r="E43" t="inlineStr">
        <is>
          <t>여덟 high-salience CAP findings from Week 9 Day 2 (Tue 2026-06-02) literature search: (1) **LCOA TERMINOLOGY LINEAGE LOCKED**: #181 Friedmann CGEP 2020 establishes that CAP's LCOA_AL is the ASIA+CORPORATE extension of Friedmann's geography+timing+infrastructure-integrated LCCA. CAP working paper Section 2 Methodology 의 'Building on Friedmann et al. (2020)' framing now anchored. 'Hard-to-abate' threshold ($200/t × 75% rule) is the inclusion criterion 가 CAP의 12-company KR+JP steel+petchem universe 가 정확히 이 정의 안에 들어감을 정당화. CAP의 contribution = (a) Asian context (Friedmann had none), (b) corporate-level (Friedmann was technology-level), (c) asset-life-adjusted timing (Friedmann static). (2) **CARBON VIX = ROV σ_carbon EMPIRICAL ESTIMATOR**: #180 Fuchs et al. 2024 NBER provides MARKET-TRADED σ_carbon — CAP의 LCOA+ROV hybrid (locked Week 8 Day 5) 의 가장 critical missing input. 기존엔 σ_carbon 을 scenario parameter 로 stipulate 했으나 이제 EUA option-implied volatility series (carbonvix.org public) 를 K-ETS/GX-ETS proxy 로 사용 가능. **Working paper hook**: Section 5 Score_CAP composite 의 w_R (ROV weight) 정당화에 'σ_carbon is market-observable, not assumption' argument 활용. (3) **GLOBAL PEER PAPER FOR PETCHEM CAPEX (#182 Hellweg ACS EST 2025)**: 2,600+ plant-level scenario 의 +18-25% CAPEX-vs-BAU finding 이 CAP의 KR+JP petchem 6사 CAPEX magnitude analysis 의 외부 calibration anchor. Asia 부분이 중국 only — KR/JP 가 정확히 CAP value-add gap. Petrochem_MACC 시트 의 olefin/aromatic/methanol/ammonia rows 가 본 paper 와 cross-validate 되어야 함 (Week 9 Day 3 task). Setouchi LLP (#166) 의 olefin CAPEX 정량화 baseline 으로 활용 가능. (4) **STRANDED-FUTURES 2026 ERSS (#183) = 4-AXIS LOCK-IN MODEL**: technological lock-in × policy stringency × carbon-price × asset-age 의 interaction model 이 CAP의 BF_Relining_Asset_Life 시트의 정당성 anchor. Caldecott Oxford lineage 의 2026 update — CAP MICRO layer 의 academic peer paper. '4-axis interaction' 이 LCOA_AL 의 (1+r)^t × Asset_remaining_life 항을 단순 cost-of-capital adjustment 가 아니라 multi-dimensional stranded-asset risk 로 해석할 framework 제공. **Working paper hook**: Section 4 (Three Restructuring Archetypes) 가 'stranded-asset reallocation' 으로 해석되는 framework foundation. (5) **LOBBYING DOCUMENTATION CLOSES CARBON-PRICE EROSION ATTRIBUTION (#184+#185)**: InfluenceMap 230+ documented instances + Carbon Pulse coverage 가 CAP의 'POSCO effective carbon price $0.92/tCO2 (vs nominal $9.5-11.7) = 90.3% suppression' 의 lobbying-channel attribution 정량화 가능. POSCO 10% lobbying evidence share + KOSA 5% + Hyundai 5% + KCCI 17% = 37% combined K-ETS lobbying concentration in CAP steel cohort. Phase 1→3 free-allowance ~+10% drift = historical erosion magnitude — Phase 4 (2026-2030) 의 K-ETS allocation 정책 schedule 과 비교 baseline 으로 Day 4 적용. **결론적 claim**: 'CAP 의 90.3% effective price erosion 은 random regulatory failure 가 아니라 quantifiable corporate lobbying attribution 의 결과' — working paper Section 3 의 강한 thesis 후보. (6) **THREE RESTRUCTURING ARCHETYPES 패턴 LOCKED (#186 + #166 + Korean YNCC)**: MCG spin-off (intra-firm) + Setouchi LLP (cross-firm JV) + Lotte-YNCC (KR JV-consolidation) 의 archetype 3-way 가 working paper Section 4 의 두번째 subsection 으로 lock-in. 3 archetypes 모두 parent-company book carbon intensity 감소 WITHOUT 절대 physical asset emissions 감소 — Gap 5 transition-taxonomy artefact 의 가장 clean structural illustration. LCOA_AL 의 (1-α_equity)×CAPEX_JV term (Week 8 Day 5 locked) 이 3 archetypes 모두 일관 적용 가능 — 단 α_equity 의 정의가 달라짐: spin-off=100% residual / cross-firm JV=45%-45%-10% / KR consolidation=합병 후 sum-equity. (7) **HORMUZ FM CASCADE = Δr_geo REAL-TIME EMPIRICAL VALIDATION (#187)**: 2026-03-06 YNCC FM → 2026-04-04 cascade peak 의 4-week timeline 은 LCOA_AL 의 geopolitical-shock channel 이 simulation 이 아닌 actual realized event 임을 documenting. ~50% naphtha surge ($590→$875/t in 4 weeks) 는 Hellweg 2025 (#182) 의 +18-25% annual CAPEX shock 의 quarterly OPEX equivalent 으로 mapping 가능. **Working paper hook**: Section 4.2 (KR Hormuz-exposure subsection) 가 Section 4.1 (JP offshore-shift via NSC/JFE/Kobe) 와 paired — KR petchem 의 outbound supply-chain concentration vs JP steel 의 outbound asset-shift concentration 의 symmetry. (8) **KFTC PROBE → GOVERNANCE DIMENSION 추가 (Score_CAP v0.2 calibration)**: #188 KFTC 2026-05-14 raid + Hanwha 3rd amended prospectus same-day timing 은 governance-quality signal — Caldecott Oxford SF Principles 의 governance pillar 와 정확히 align. Score_CAP composite v0.1 (w_L=0.5/w_R=0.3/w_T=0.2) 의 v0.2 calibration 후보: w_L=0.45+w_R=0.30+w_T=0.15+w_G=0.10 with Δr_gov ~+25bp scenario column. **결론적 claim**: 'CAP composite scoring 의 governance dimension 은 abstract pillar 가 아니라 specific event-driven Δr_gov 로 정량화 가능' — Week 9 Day 5 brainstorm 의 Score_CAP v0.2 정식화 후보.</t>
        </is>
      </c>
      <c r="F43" t="inlineStr">
        <is>
          <t>Action items for Week 9 Day 3 (Wed 2026-06-03, MACC Analysis Refinement): (a) **PRIORITY 1 — Petrochem_MACC cross-validation with #182 Hellweg 2025**: olefin/aromatic/methanol/ammonia rows 의 CAPEX baseline 을 ACS EST plant-level scenario 와 비교; (b) **PRIORITY 2 — Steel_MACC σ_carbon column 추가**: #180 Carbon VIX EUA option-implied volatility 의 historical series 를 K-ETS/GX-ETS proxy 로 적용; (c) **PRIORITY 3 — α_equity column 정식화 in Tech_Portfolio_Split**: Setouchi 45/45/10 + MCG 100% intra-firm + HPLS Hyundai 50/POSCO 20/Hyundai Motor 15/Kia 15 + POSCO-JSW Odisha 50/50 일관 column; (d) **PRIORITY 4 — Flex-Discount Sensitivity column per #175 Jenkins EES 2026**: Steel_MACC H2-DRI rows 의 −6~−10% LCOS sensitivity 정식 application (Week 8 Day 6 carry-forward). Action items for Week 9 Day 4 (Thu 2026-06-04, Carbon Pricing &amp; Policy): (e) **K-ETS effective-price erosion footnote update** using #184+#185 lobbying attribution; (f) **4th consecutive attempt** KAU25 fresh spot via KRX-direct OR Reuters Energy Korea licensed feed (Week 6, 7, 8 Day 4, 9 Day 4 deferred); (g) **CBAM Q2 official €/tCO2 publication scheduled 2026-07-06** — pre-record current Q2 indicative €70.50; (h) **K-ETS Phase 4 allocation schedule** 분석 vs InfluenceMap Phase 1→3 +10% drift baseline. Action items for Week 9 Day 5 (Fri 2026-06-05, Brainstorm Synthesis): (i) **Section 4 draft**: 'Three Restructuring Archetypes and Their Decarbonization Optical Footprint' 를 MCG+Setouchi+Lotte-YNCC 3-row table 으로 정식화 — α_equity 의 archetype-dependent 정의 명시; (j) **Section 4.2 draft**: 'KR Hormuz-Exposure' subsection 을 #187 cascade timeline + #188 KFTC probe + SKGC asymmetric non-declaration 으로 구성; (k) **Score_CAP v0.2 정식화**: governance dimension w_G=0.10 추가 + Δr_gov ~+25bp scenario column; (l) **σ_carbon empirical estimation note**: Carbon VIX (#180) 의 K-ETS/GX-ETS proxy 사용 정당화. Action items for Week 9 Day 6 (Sat 2026-06-06, Collaborator Tracking): (m) Caldecott Oxford Sustainable Finance Centre June 2026 newsletter; (n) Friedmann (Columbia CGEP) 2026 신규 publication 모니터링 (LCCA 후속); (o) ACS EST 2026 Q3 chemical scenario 후속 publications; (p) MCG spin-off post-announcement 후속 disclosure 추적. **Working paper queue update (running)**: Section 3 (Kobe Kakogawa + ROV + Carbon VIX σ_carbon); Section 4 (4.1 JP offshore-shift; 4.2 KR Hormuz-exposure + KFTC; 4.3 Three Restructuring Archetypes); Section 5 (JV equity-weighted LCOA + Score_CAP composite v0.2 with governance dimension).</t>
        </is>
      </c>
      <c r="G43" t="inlineStr">
        <is>
          <t>Completed (Day 2 Literature Search; CAP_Literature_References.xlsx +9 rows #180-#188 covering Carbon VIX/LCCA/ACS petchem scenario/Stranded Futures 2026 ERSS/Carbon Pulse K-ETS/InfluenceMap K-ETS + MCG spin-off/Hormuz FM cascade/KFTC probe; 6 deferred Lit refs from Week 8 Day 4+5+6 100% clear; 3 Day 1 marquee narrative bundles formalize. Weekly_Tracker +1 row Week 9 Day 2; backups CAP_Literature_References_pre2026-06-02.xlsx.bak + CAP_Technology_MACC_Analysis_pre2026-06-02.xlsx.bak + CAP_Brainstorm_Notes_pre2026-06-02.docx.bak 저장. Deferred items 카운트 update: JFE Emirates DRI JV CAPEX share (5th-consecutive carry-forward → Day 1 next week); KAU25 fresh spot (4th-consecutive → Day 4 this week).</t>
        </is>
      </c>
    </row>
    <row r="44">
      <c r="A44" t="inlineStr">
        <is>
          <t>Week 9 (Day 3)</t>
        </is>
      </c>
      <c r="B44" t="inlineStr">
        <is>
          <t>2026-06-03</t>
        </is>
      </c>
      <c r="C44" t="inlineStr">
        <is>
          <t>MACC Analysis Refinement; Tech_Portfolio_Split updates: (1) NSC Shunan row updated to JPY 98.5B/$619M, 2H FY2028 commercial start (was qualitative restart note); (2) Setouchi LLP CAPEX first-disclosed at JPY 21.2B with up to JPY 10.4B METI HtA subsidy → net partner CAPEX ~$70M (Mitsui $31M / Mitsubishi $31M / Asahi $7M); (3) NEW JFE net-of-subsidy row: JPY 104.5B GX subsidy → net CAPEX JPY 224.9B (~$1.5B) → Implied_MACC drops to ~$50/tCO2 (vs $154 gross); (4) NEW POSCO HyREX pilot empirical row: 24 t/day operating since June 2024, ~400 kgCO2/t steel = -78% intensity. BF_Relining_Asset_Life +1 row (Shunan EAF restart as capacity-addition NOT BF-substitution). Steel_MACC row 12 (H-DRI-EAF Stegra) extended with Vogl et al. Nature Climate Change 2026 (DOI 10.1038/s41558-026-02635-8) anchor: 60% of 60GtCO2 lock-in avertable at $100-150/tCO2 avg → directly validates CAP H-DRI bracket $95-115. CAPEX corrections (Hyundai $1.1B, NSC $6.0B) RE-VERIFIED unchanged from prior cycles.</t>
        </is>
      </c>
      <c r="D44" t="inlineStr">
        <is>
          <t>Vogl, Olsson, Eccles et al. 2026 Nature Climate Change DOI 10.1038/s41558-026-02635-8 (Potsdam, May 2026) — primary new literature anchor; complements Wang et al. 2025 Nature 41586-025-09658-9. SteelWatch Corporate Scorecard 2026 cross-check: Nippon 17/18, POSCO + Hyundai 'back of pack'; no company &gt;50/100. (Day 2 logged Lit refs; Day 3 cross-references not added to Literature sheet — deferred to Day 5 synthesis.)</t>
        </is>
      </c>
      <c r="E44" t="inlineStr">
        <is>
          <t>KEY INSIGHT 1 (CAP Gap 1 / LCOA framework): Subsidy-net CAPEX recalculation for JFE Kurashiki cuts Implied_MACC from ~$154 to ~$50/tCO2 — TPI/SBTi/CA100+ scoring uses GROSS announced CAPEX, masking the 3× cost-efficiency improvement that public subsidy delivers. The same gross-vs-net issue applies to Yawata (¥179.9B subsidy), Hirohata (subset of NSC envelope), Setouchi (¥10.4B METI). CAP's LCOA must report BOTH gross and net-of-subsidy. KEY INSIGHT 2 (Gap 4 / equity attribution): Setouchi LLP at 45/45/10 means Asahi's NET CAPEX EXPOSURE is ~$7M — yet a count-based framework attributes the full $140M to all 3 companies symmetrically. CAP equity-weighted attribution is the right unit of analysis. KEY INSIGHT 3 (Gap 5 / capacity additions vs substitutions): Shunan EAF restart is a CAPACITY ADDITION (no BF to retire on site) whereas Yawata 2.0Mtpa is CAPACITY SUBSTITUTION (Kyushu BF retired upon EAF commissioning). Aggregating both under 'EAF investment' overstates decarbonization.</t>
        </is>
      </c>
      <c r="F44" t="inlineStr">
        <is>
          <t>(a) Next Day 4 (06-04): pull K-ETS KAU25 latest mid-week settlement vs $11.5 baseline; refresh GX-ETS price-band expectations now that 45/45/10 equity finalized — does Asahi's 10% equity change projected GX-ETS exposure? (b) Next Day 3 cycle: build a gross-vs-net CAPEX comparison table for all 5 steel companies + 7 petchem; (c) Re-run all Implied_MACC values in Company_Tech_Mapping with subsidy-net adjustment; (d) Q3 2026 methodology task: reweight Steel_MACC against Vogl et al. 2026 distribution</t>
        </is>
      </c>
      <c r="G44" t="inlineStr">
        <is>
          <t>Completed</t>
        </is>
      </c>
    </row>
    <row r="45">
      <c r="A45" s="5" t="inlineStr">
        <is>
          <t>Week 9 (Day 4)</t>
        </is>
      </c>
      <c r="B45" s="20" t="n">
        <v>46177</v>
      </c>
      <c r="C45" s="5" t="inlineStr">
        <is>
          <t>Day 4 Carbon Pricing &amp; Policy Update (Thu 2026-06-04, scheduled run). Carbon_Price_Scenarios sheet +1 row (Week 9 Day 4 snapshot). NO Company_Data.xlsx 변경 (Day 4 = carbon-price/policy focus). CROSS-REF updates: (a) K-ETS Phase 4 reaffirmed: Cap 2.5373B tCO2e 2026-2030, K-MSR live (Apr 2026 Enforcement Decree, detailed bands by Aug 2026), power-sector auction phase-in 15→50% (2026-2030), benchmarking share 60%→75%, industrials 100% free Phase 4. (b) GX-ETS FY2026 corridor BINDING ¥1,700-4,300 ($10.95-27.7); FY2030 outlook ¥1,913-4,840 ($12.3-31.2), CPI+3% escalator. (c) EU-ETS €76.92-78.03 range late-May/early-Jun 2026; CBAM Q1 €75.36 official, Q2 publishes 2026-07-06. (d) **NEW POLICY DATA — KR Petchem Restructuring (Feb 2026 final approval)**: HD Hyundai Chem + Lotte Chem Daesan JV ($1.39B gov support, ₩600B each company, 1.1 Mt/y NCC shutdown, 3.7 Mt/y total mandated across 10 groups). Special Act on Petrochemicals enacted. (e) **NEW POLICY DATA — JP GX Bonds &amp; EAF Subsidy Stack**: Nippon Steel ¥251.4B ($1.7B for ~2.9 Mt/y EAF), JFE Steel ¥104.5B ($0.7B for 2 Mt/y EAF Kurashiki); total ¥484B over 5 yrs via GX Economy Transition Bonds. JFE commissioning FY2027/2028. (f) Korea H2-DRI: 10% of ₩286.5B = ~₩28B for H2-steel; Germany outspends Korea on H2-steel by 38x despite producing half the steel.</t>
        </is>
      </c>
      <c r="D45" s="5" t="inlineStr">
        <is>
          <t>Day 4 = Carbon Pricing &amp; Policy focus; no formal Lit refs added (literature ingestion deferred to Day 2 of next cycle). HOWEVER, several refs cited inline for triangulation: ICAP Phase 4 K-ETS announcement, Shulman Advisory GX-ETS price-band detail, Carbon Pulse KAU prints, Fastmarkets/EUROMETAL CBAM Q1 €75.36 confirmation, ForOurClimate End-the-Free-Emissions K-ETS reform analysis, IEA GX policy file #19963, Transition Asia Japan Green Steel Transition, KED Global / Seoul Economic Daily KR petchem restructuring coverage, GreenCentralBanking CBI declined JP GX bonds, Renewable Energy Institute Decarbonizing Japan Steel Part 1.</t>
        </is>
      </c>
      <c r="E45" s="5" t="inlineStr">
        <is>
          <t>여덟 high-salience CAP findings from Week 9 Day 4 (Thu 2026-06-04) Carbon Pricing &amp; Policy Update:
(1) **K-ETS Phase 4 EFFECTIVE PRICE QUANTIFICATION RE-CONFIRMED**: KR steel (POSCO, Hyundai) effective ~$0.92/tCO2 (8% short × $11.5 KAU25 spot); KR petchem (LG, Lotte, SK, Hanwha) effective ~$0/tCO2 (100% free Phase 4 industrials); no fresh OPIS print May 28-Jun 4 = market has 1-month quiet period. K-MSR detailed bands due Aug 2026 = mid-Phase 4 price discovery still gated.
(2) **GX-ETS FY2026 BINDING CORRIDOR FIRMS UP**: ¥1,700-4,300 ($10.95-27.7) confirmed by METI/Shulman Advisory; price floor explicitly referenced pre-Oct-2024 J-Credit average ¥1,620 (because J-Credit prices surged post-Oct-2024 above abatement-cost levels); ceiling ¥4,300 ≈ coal→LNG switch cost. FY2030 outlook ¥1,913-4,840 (CPI+3% escalator). Auction mechanism not until 2033 = price discovery STRUCTURALLY DELAYED for 7 years.
(3) **EU-ETS PRICE PERSISTS HIGH €76-78 RANGE EVEN AFTER REUTERS DOWNGRADE**: Late-May/early-Jun 2026 €76.92-78.03; +13% over 4 weeks to May 26; KR-EU price ratio now ~7.4-9x. Reuters survey -13% cut on 2026 avg forecast (€80.61) confirms analyst concern but spot resilient.
(4) **CBAM Q1 €75.36/tCO2e FINAL; Q2 PUBLISHES JUL 6**: Q2 calculated from Q2 EUA auction VWA ≈ €72-76 expected; 2026 phase-in 2.5% = €1.88/t border effective; full phase-in 2034. Korean BF-BOF default benchmark 2.6-3.5 tCO2/t → HRC import surcharge €196-264/t at full pass-through. **TTI Korea CBAM Intel 2026** quantifies KR deductible only €2.51-2.92/t (3.4% of EU reference).
(5) **NEW DATA — KR PETCHEM RESTRUCTURING $1.39B PACKAGE FINAL APPROVAL (Feb 2026)**: HD Hyundai Chemical + Lotte Chemical Daesan facilities consolidated; 1.1 Mt/y NCC shutdown (3.7 Mt/y across 10 groups total mandated). Special Act on Petrochemicals enacted: tax credits, deferred-tax M&amp;A, streamlined facility closure. **CAP IMPLICATION**: FIRST KR petchem capacity reduction tied to fiscal/regulatory stack — parallel decarbonization pressure mechanism EVEN THOUGH K-ETS effective price for petchem is $0. This is the structurally important finding: K-ETS price ≠ only decarbonization driver in KR; restructuring policy acts as a *non-price* mechanism that shortens NCC asset life. **Directly relevant to CAP Gap 1 LCOA (depreciation/asset-lifecycle) and Gap 5 (investment-timing)**.
(6) **NEW DATA — JP STEEL GX SUBSIDY STACK QUANTIFIED**: Nippon Steel ¥42.8B (Hirohata) + ¥208.7B (Yawata/Shunan) = ¥251.4B (~$1.7B for ~2.9 Mt/y EAF). JFE Steel ¥104.5B (Kurashiki, ~$0.7B for 2 Mt/y EAF, commissioning FY2027/2028). Total ¥484B over 5 yrs via GX Economy Transition Bonds. **CAP IMPLICATION**: JP gov subsidizing 30-50% of EAF CAPEX = Implied_MACC for JFE Kurashiki post-subsidy ~$0.1-0.5/tCO2 (vs $1-3 pre-subsidy); Nippon Yawata/Shunan post-subsidy ~$0.5-1.5/tCO2 (vs $2-4 pre-subsidy). At GX-ETS ceiling $27.7, subsidy-net JFE EAF dominantly economic.
(7) **BILATERAL ASYMMETRY CRYSTALIZES — JP vs KR SUBSIDY STACK 5-10X LARGER RELATIVE TO MACC**: 
   - JP steel: subsidy-net MACC $0-2 vs GX-ETS effective $0.55-1.39 → CAN clear effective price
   - KR steel: subsidy-net MACC $50-100 (H2-DRI gets ~10% of ₩286.5B) vs K-ETS effective $0.92 → 50-100x gap
   Germany outspends Korea on H2-steel by 38x despite producing half the steel (per ForOurClimate report). This BILATERAL ASYMMETRY directly contradicts the TPI/CA100+/SBTi treatment of KR and JP as equivalent jurisdictions for transition-finance scoring. **NEW CAP FINDING this week**: subsidy-net Implied_MACC is the missing link between nominal MACC (Gap 1) and effective carbon price (Gap 3) — the LCOA framework must explicitly carry the subsidy variable to be jurisdictionally honest.
(8) **CBI DECLINES JP GX BOND CERTIFICATION = Transition-finance labeling integrity now publicly contested** (per GreenCentralBanking 2026-05-06 ref). CBI cited ammonia co-firing incompatibility with credible decarb pathway. **CAP IMPLICATION**: Japan transition-finance label QUALITATIVELY DEGRADED relative to EU GBS taxonomy — and the JP gov is still routing ¥484B GX bond financing into ammonia-permissive frameworks. This is a textbook taxonomy-vs-real-decarbonization divergence and is directly citable as evidence for CAP's argument that transition-finance frameworks don't internalize the CAPEX cost-efficiency of decarbonization (Gap 1) or carbon-price-vs-MACC reality (Gap 3).</t>
        </is>
      </c>
      <c r="F45" s="5" t="inlineStr">
        <is>
          <t>Action items for Week 9 Day 5 (Fri 2026-06-05, Brainstorming Note &amp; Synthesis):
(a) **PRIORITY 1 — Synthesize Week 9 SUBSIDY-NET LCOA findings** into CAP_Brainstorm_Notes.docx: write a dedicated 'Subsidy-Net LCOA Module' subsection that codifies the formula:
    Subsidy_Net_LCOA = (CAPEX_gross − Subsidy_received) / (CO2_abated × Asset_Life) + OPEX_delta − Effective_Carbon_Price
   With worked examples for: JFE Kurashiki (¥104.5B subsidy, ~$0.1-0.5/tCO2 post-subsidy LCOA), Nippon Yawata/Shunan (¥208.7B subsidy, ~$0.5-1.5/tCO2 post-subsidy LCOA), POSCO HyREX (~₩28B H2-steel allocation = ~$20M effective subsidy, post-subsidy LCOA still ~$110-130/tCO2). Link to Day 3 Vogl Olsson Eccles 2026 Nature Climate Change ref (DOI 10.1038/s41558-026-02635-8) which is the methodological anchor for subsidy-net LCOA modeling.
(b) **PRIORITY 2 — Codify the BILATERAL ASYMMETRY finding** as a standalone CAP brainstorm section: 'JP-KR Subsidy Stack Bilateral Asymmetry'. Document the 5-10x JP subsidy advantage relative to MACC, contrast with TPI/CA100+/SBTi treatment of KR and JP as equivalent jurisdictions. Cite ForOurClimate 'Germany 38x Korea H2-steel spending' finding (need to retrieve URL on Day 5).
(c) **PRIORITY 3 — Add KR PETCHEM RESTRUCTURING fiscal/regulatory channel** as a separate brainstorm note: 'Non-Price Decarbonization Mechanisms — KR Petchem Restructuring 2026'. Document Feb 2026 $1.39B HD Hyundai/Lotte JV approval, 1.1 Mt/y NCC shutdown, Special Act on Petrochemicals. Link to Gap 1 LCOA + Gap 5 timing.
(d) **PRIORITY 4 — Update LCOA formal methodology**: expand original LCOA formula (CAPEX/abatement) to include (i) subsidy variable, (ii) asset-life-remaining variable, (iii) effective-carbon-price variable. Write a methodological appendix that distinguishes 'nominal LCOA', 'subsidy-net LCOA', 'depreciation-adjusted LCOA', and 'policy-adjusted effective LCOA' as 4 ladder rungs of CAP methodology.
(e) **PRIORITY 5 — Add Carbon Pulse 2026-05-13 K-MSR price-band notation** to CAP framework: K-MSR detailed trigger bands due Aug 2026; if bands are LOOSE, expect K-ETS price discovery to remain capped and the 'CAP Gap 3 = Carbon Pricing Integration 부재' position is REINFORCED; if bands are TIGHT, expect Phase 4 price discovery to accelerate and CAP Gap 3 framing must be re-tested. This is a methodological branch-point for the LCOA framework.
(f) Day 6 (Sat 2026-06-06): Collaborator &amp; publication tracking — check Vogl/Olsson/Eccles 2026 Nature CC paper citations (Day 3 ref) for follow-on work; check Simon Dietz TPI Aug 2026 update cycle; check Cameron Hepburn Oxford INET publication queue. (g) Day 7 (Sun 2026-06-07): Dashboard refresh — wire in Week 9 subsidy-net LCOA findings, restructuring policy data, JP-KR bilateral asymmetry chart.</t>
        </is>
      </c>
      <c r="G45" s="5" t="inlineStr">
        <is>
          <t>Completed (Day 4 Carbon Pricing &amp; Policy Update; Carbon_Price_Scenarios sheet +1 row Week 9 Day 4 snapshot capturing K-ETS Phase 4 + K-MSR Apr 2026, GX-ETS FY2026 binding corridor, EU-ETS €76-78 late-May/early-Jun, CBAM Q1 €75.36 + Q2 due Jul 6; NEW data: KR petchem restructuring $1.39B Feb 2026 approval + Special Act on Petrochemicals, JP GX subsidy stack ¥484B with Nippon ¥251.4B + JFE ¥104.5B; bilateral asymmetry quantified — JP subsidy stack 5-10x larger relative to MACC; CBI declines JP GX bond certification 2026-05; daily log _daily_log_2026-06-04_Day4_Carbon.md created; brainstorm notes appended with Day 4 synthesis section.)</t>
        </is>
      </c>
    </row>
    <row r="46">
      <c r="A46" t="inlineStr">
        <is>
          <t>Week 9 (Day 5)</t>
        </is>
      </c>
      <c r="B46" s="19" t="n">
        <v>46178</v>
      </c>
      <c r="C46" t="inlineStr">
        <is>
          <t>Day 5 Brainstorm Synthesis (Fri 2026-06-05, scheduled run). No sheet data changes; synthesis written to CAP_Brainstorm_Notes.docx: LCOA 4-Rung Ladder (Methodology v0.4) codified; Subsidy-Net LCOA Module with 3 worked examples (JFE Kurashiki $46→$31/t; NSC Yawata/Shunan; POSCO HyREX $107-115 -&gt; ~unchanged, gap ~100-150x); JP-KR Bilateral Asymmetry standalone section; Non-Price Decarbonization Mechanisms 2x2 taxonomy; Score_CAP v0.2 (w=0.45/0.30/0.15/0.10 incl. governance).</t>
        </is>
      </c>
      <c r="D46" t="inlineStr">
        <is>
          <t>No new formal lit refs (Day 5 = synthesis). Cross-check added: FuelCellChina secondary confirmation of ForOurClimate 38x Germany-vs-Korea steel decarb subsidy figure (Korea KRW 268.5B vs Germany KRW 10.2T/$7B; H2-DRI share only ~10%/KRW 26.9B). CORRECTION: Day 4 figure KRW 286.5B was a typo for 268.5B.</t>
        </is>
      </c>
      <c r="E46" t="inlineStr">
        <is>
          <t>KEY INSIGHT: LCOA 4-rung ladder (nominal -&gt; subsidy-net -&gt; depreciation-adjusted -&gt; policy-adjusted effective) makes the JP-KR asymmetry a single quantitative exhibit: JP steel Rung1-&gt;2 wedge $15-46/t (subsidy pulls EAF inside GX-ETS corridor), KR wedge &lt;$1/t (HyREX stays 100-150x above effective K-ETS price). Also flagged: Implied_MACC double-definition inconsistency (Day 3 $154-&gt;$50 vs Day 4 $1-3-&gt;$0.1-0.5 for same JFE asset) — full recalc on ladder-standardized annualized basis queued for Week 10 Day 3.</t>
        </is>
      </c>
      <c r="F46" t="inlineStr">
        <is>
          <t>Day 6 (6/6): Dietz/Caldecott/Hepburn/Karplus/Jenkins publication check + MCG spin-off follow-ups. Day 7 (6/7): dashboard LCOA ladder waterfall + asymmetry exhibit. Week 10 Day 3: Company_Tech_Mapping Implied_MACC full recalc (ladder basis) + 12-company gross-vs-net CAPEX table. Watch: K-MSR trigger bands (Aug 2026), CBAM Q2 price (7/6), KRX KAU futures (H2 2026). Carry-forward: JFE Emirates JV CAPEX (6th week), KAU25 fresh spot (5th week).</t>
        </is>
      </c>
      <c r="G46" t="inlineStr">
        <is>
          <t>Completed (Day 5 Brainstorm Synthesis; CAP_Brainstorm_Notes.docx Week 9 Day 5 entry appended; backups saved)</t>
        </is>
      </c>
    </row>
    <row r="47">
      <c r="A47" t="inlineStr">
        <is>
          <t>Week 9 (Day 6)</t>
        </is>
      </c>
      <c r="B47" s="19" t="n">
        <v>46179</v>
      </c>
      <c r="C47" t="inlineStr">
        <is>
          <t>Day 6 Collaborator &amp; Publication Tracking (Sat 2026-06-06, scheduled run). No MACC/Company sheet data changes (Day 6 = lit/collab focus). CAP_Literature_References.xlsx +4 rows (#189-#192). #189 Dietz et al. 2026 Science 391:26-29 (DOI 10.1126/science.adz4857) — IAM-to-corporate-pathway / Milieudefensie v Shell. #190 InfluenceMap JP-KR Steel × EU CBAM (report #26493 + PR #27175). #191 ORF 'Pathways to Green Steel: Trilateral India-Japan-Korea' (Bakshi &amp; Vohra, Jun 2026). #192 Day 6 venue cluster (Oxford Sustainable Finance Summit 29 Jun 2026 + Exec Programme).</t>
        </is>
      </c>
      <c r="D47" t="inlineStr">
        <is>
          <t>4 new refs #189-#192. HIGH-relevance: #189 Dietz Science (TPI Research Director — repositions CAP critique as internal TPI extension), #190 InfluenceMap CBAM (Gap 3 lobbying-mechanism anchor extending #184/#185). MEDIUM: #191 ORF trilateral, #192 venue tracking. Cross-check flags: Jenkins/ZERO Lab 2026-03-23 H2-DRI-EAF flexibility framework likely = existing #175 (He·Atouife·Jenkins EES 2026) — verify before separate entry; SteelWatch Scorecard 2026 detail added (Nippon+US Steel acquisition +~1/3 emissions, no substantial cuts until 2040s) — folds into existing scorecard refs, not re-entered.</t>
        </is>
      </c>
      <c r="E47" t="inlineStr">
        <is>
          <t>KEY INSIGHT 1 (CAP positioning): Dietz et al. 2026 Science (#189) is the cycle's marquee — Simon Dietz is TPI Global Climate Transition Centre Research Director, and the paper documents that courts/frameworks apply system-level IAM pathways to GOVERNMENTS but fail to translate them to INDIVIDUAL COMPANIES. This is isomorphic to CAP's MACRO-&gt;MICRO gap. CAP intro can now cite TPI leadership itself acknowledging the macro-to-firm translation problem, reframing CAP as an internal extension rather than hostile critique. KEY INSIGHT 2 (Gap 3 mechanism): InfluenceMap #190 documents the JP-KR self-defeating paradox — POSCO/Hyundai/KOSA + Nippon/JFE/JISF lobby to weaken EU CBAM WHILE also weakening their own domestic carbon price, thereby forfeiting CBAM's equivalence-exemption. This is direct evidence that effective domestic carbon price is deliberately suppressed (Gap 3) — TPI/CA100+/SBTi cannot assume 'carbon price drives abatement' in KR/JP. Extends #184/#185 (K-ETS 2024) into the CBAM dimension. KEY INSIGHT 3 (negative signals): Hepburn 2026 new MACC paper not found (weak signal persists — keep INET Oxford WP search in rotation); Wagner CAP6/Policy-sequencing = no new 2026 anchor; Caldecott/OxSFG = venue/outreach opportunity (Summit 29 Jun 2026) rather than new publication.</t>
        </is>
      </c>
      <c r="F47" t="inlineStr">
        <is>
          <t>Day 7 (Sun 6/7): Dashboard refresh — LCOA 4-rung ladder waterfall per company + JP-KR bilateral asymmetry exhibit (carried from Day 5); add Dietz #189 citation to dashboard methodology footer + InfluenceMap #190 to Gap 3 panel. Week 10 Day 2 (Lit): verify Jenkins/ZERO Lab 2026-03-23 item vs #175 (dedup); confirm InfluenceMap #190 exact publication month; scan Oxford OxSFG Summit 2026 agenda (released closer to 29 Jun) for CAP-adjacent sessions. Week 10 Day 3 (MACC): Company_Tech_Mapping Implied_MACC full recalc on ladder-standardized annualized basis + 12-company gross-vs-net CAPEX table (carried). Watchpoints: K-MSR trigger bands (Aug 2026); CBAM Q2 price (2026-07-06); KRX KAU futures launch (H2 2026). Collaborator-outreach: consider CAP abstract submission to Oxford Sustainable Finance Summit / ACS HK (Jul 7-9) — Gap 3 framing. Carry-forwards: JFE Emirates DRI JV CAPEX share (7th week — DART/EDINET attempt Mon 6/8); KAU25 fresh spot (6th week).</t>
        </is>
      </c>
      <c r="G47" t="inlineStr">
        <is>
          <t>Completed (Day 6 Collaborator &amp; Publication Tracking; CAP_Literature_References.xlsx +4 rows #189-#192; daily log _daily_log_2026-06-06_Day6_Collab.md created; brainstorm notes Week 9 Day 6 entry appended; backups *_pre2026-06-06.* saved)</t>
        </is>
      </c>
    </row>
    <row r="48">
      <c r="A48" t="inlineStr">
        <is>
          <t>Week 9 (Day 7)</t>
        </is>
      </c>
      <c r="B48" s="19" t="n">
        <v>46180</v>
      </c>
      <c r="C48" t="inlineStr">
        <is>
          <t>Day 7 Dashboard &amp; Visualization Update (Sun 2026-06-07, scheduled run). CAP_MACC_Dashboard.html refreshed Week 8 Day 7 build (2026-05-31) -&gt; Week 9 Day 7 build (2026-06-07). Added Section 18 (LCOA 4-Rung Ladder per company, Methodology v0.4) + Section 19 (JP-KR bilateral subsidy-wedge asymmetry, Gap 3 exhibit) with 2 new Chart.js renderers (lcoaLadderChart grouped bar; bilateralWedgeChart). Section 0 refresh log rotated (05-31 demoted); header meta + footer updated; build 106,061-&gt;118,932 bytes. Verified Hyundai $1.1B / NSC $6.0B CAPEX corrections still consistent across Company_Tech_Mapping + dashboard. No MACC/Company numeric data changes (Day 7 = visualization focus).</t>
        </is>
      </c>
      <c r="D48" t="inlineStr">
        <is>
          <t>No new lit refs (Day 7 = dashboard). Wired 2 Week 9 Day 6 anchors into dashboard: Dietz et al. 2026 Science #189 (methodology footer) + InfluenceMap JP-KR Steel x EU-CBAM #190 (new Gap 3 panel in Section 19). Both verified present in CAP_Literature_References.xlsx 'Literature References' sheet (Gap 1,5 and Gap 3,5).</t>
        </is>
      </c>
      <c r="E48" t="inlineStr">
        <is>
          <t>KEY INSIGHT: The LCOA 4-Rung Ladder, visualized per company for the first time, makes CAP's core thesis legible in a single exhibit — Rung 4 ~= Rung 3 in EVERY case because effective ETS prices (KR $0.92 / JP $0.55-1.39) do almost no work; ranking flips happen at Rung 2 (subsidy) not Rung 4 (carbon price). JFE reaches near-parity with GX ceiling ($30 vs $27.7) only via subsidy+timing, while POSCO stays ~130x above effective K-ETS at every rung. JP-KR subsidy wedge: JP $15-17/t vs KR &lt;$1/t — quantifies the jurisdiction-equivalence violation in TPI/CA100+/SBTi. Confidence: JFE/POSCO MID-HIGH (Day 5 worked examples), NSC illustrative.</t>
        </is>
      </c>
      <c r="F48" t="inlineStr">
        <is>
          <t>Week 10 carry-forwards: (Day 2) dedup Jenkins ZERO Lab vs #175, confirm InfluenceMap #190 publication month, scan Oxford Summit agenda; (Day 3) Company_Tech_Mapping Implied_MACC full recalc on ladder-standardized annualized basis + 12-company gross-vs-net CAPEX table — REQUIRED before LCOA ladder values can move from illustrative to anchored for all companies; Mon 6/8 JFE-Emirates DRI JV CAPEX share DART/EDINET attempt (7th wk). Watch: K-MSR trigger bands (Aug 2026); CBAM Q2 price (2026-07-06); KRX KAU futures (H2 2026).</t>
        </is>
      </c>
      <c r="G48" t="inlineStr">
        <is>
          <t>Completed (Day 7 Dashboard &amp; Visualization Update; CAP_MACC_Dashboard.html Sections 18-19 added; backup CAP_MACC_Dashboard_pre2026-06-07.html.bak; daily log _daily_log_2026-06-07_Day7_Dashboard.md)</t>
        </is>
      </c>
    </row>
    <row r="49">
      <c r="A49" t="inlineStr">
        <is>
          <t>Week 10 (Day 1)</t>
        </is>
      </c>
      <c r="B49" s="19" t="n">
        <v>46181</v>
      </c>
      <c r="C49" t="inlineStr">
        <is>
          <t>Day 1 Data Enhancement (Mon 2026-06-08, scheduled run). CAP_Company_Data.xlsx: 8 cell-level appends (Steel: POSCO r2, JFE r5; Petrochem: Lotte r3, SKGC r4, Hanwha r5) + Notes Week 10 Day 1 block. MARQUEE: (1) Lotte Daesan Project No.1 EXECUTED — spin-off 롯데대산석화 launched 2026-06-01, merger into HD Hyundai Chemical 2026-09-01; 1.1Mt Lotte NCC halts, 0.85Mt HD HPC sole cracker; KRW 600B x2 injection; equity 6:4-&gt;5:5. (2) POSCO Gwangyang 2.5Mt EAF commissioning month reached (Jun 2026); first-heat PR not yet confirmed. (3) Ulsan zone joint plan submitted (SKGC+Daehan+S-Oil). (4) JFE Emirates DRI JV CAPEX 7th week undisclosed; start delayed to after-2027 (Argus); EDINET FY2025 securities report late-Jun window flagged.</t>
        </is>
      </c>
      <c r="D49" t="inlineStr">
        <is>
          <t>No formal lit refs (Day 1 = data). 3 source bundles queued for Day 2 ingestion: Daesan-execution bundle (Ajunews/SEDaily/InvestChosun/Newsis), Ulsan-zone bundle (ThePublic/DealSite), POSCO-EAF-June bundle (GMK/g-enews/IndexBox).</t>
        </is>
      </c>
      <c r="E49" t="inlineStr">
        <is>
          <t>KEY INSIGHT: Daesan 6/1 execution creates the FOURTH restructuring archetype — JV-absorption WITH competing-asset shutdown (vs Korean JV-consolidation / Japanese cross-firm JV / Japanese intra-firm spin-off). Book carbon-intensity improves because the higher-intensity NCC retires while the surviving HPC was never on Lotte's book at 100% — LCOA must use equity-weighted post-merger (50%) allocation AND distinguish capacity-exit abatement from investment abatement. Gap 5 working-paper Section 4 now has a live executed case with full equity/CAPEX terms.</t>
        </is>
      </c>
      <c r="F49" t="inlineStr">
        <is>
          <t>Day 2 (6/9): ingest 3 queued source bundles as formal refs; dedup Jenkins ZERO Lab vs #175; confirm InfluenceMap #190 publication month; Oxford Summit 2026 agenda scan. Day 3 (6/10): Company_Tech_Mapping Implied_MACC full recalc + add Daesan capacity-exit case to Tech_Portfolio_Split. Watchpoints: POSCO EAF first-heat PR; JFE EDINET FY2025 report (late Jun); KOSPI circuit-breaker 2026-06-08 fallout on rights-offering CAPEX financing (verify Day 4); K-MSR trigger bands (Aug 2026); CBAM Q2 price (2026-07-06).</t>
        </is>
      </c>
      <c r="G49" t="inlineStr">
        <is>
          <t>Completed (Day 1 Data Enhancement; CAP_Company_Data.xlsx + Weekly_Tracker updated; backups saved)</t>
        </is>
      </c>
    </row>
    <row r="50">
      <c r="A50" t="inlineStr">
        <is>
          <t>Week 10 (Day 2)</t>
        </is>
      </c>
      <c r="B50" s="19" t="n">
        <v>46182</v>
      </c>
      <c r="C50" t="inlineStr">
        <is>
          <t>Day 2 Literature Search (Tue 2026-06-09). 검색 6 clusters: LCOA/MACC methodology, petrochem MACC timing, transition-finance credibility, stranded-asset steel Asia, carbon-price real-options, H2-DRI LCOS Korea/Japan. DB(192건) 대조 → 강후보 다수 기수록(ACCR#20, Tautorat#163, Carbon VIX#180, SteelWatch#36, Nature Comm#86) 확인, 중복 회피.</t>
        </is>
      </c>
      <c r="D50" t="inlineStr">
        <is>
          <t>3 new refs #193-#195. #193 Green Steel Economics(For Our Climate/Transition Asia) LCOS 한·일 [LCOA-relevant, Gap1,3,4]; #194 JRC EU transition-plan geographical dependency [Gap1,4]; #195 Stochastic Control abatement-depreciation [LCOA-relevant, Gap3,5].</t>
        </is>
      </c>
      <c r="E50" t="inlineStr">
        <is>
          <t>KEY INSIGHT: LCOA/depreciation 방법론 양면 보강 — (1) #193이 MIDDLE layer에 국가별 LCOS·탄소가격 parity threshold 실측 입력 제공(한국 재생전력 패널티로 $1/kg H2서도 BF-BOF 미달, $15/tCO2서 역전), (2) #195가 "감가상각되는 abatement capacity"를 수학적으로 모델링해 CAP LCOA_AL의 asset-lifecycle 가정에 이론 anchor. #194는 EU 정책기관이 asset/지리 의존성 기반 비용차별화(Gap4)를 공식 endorse.</t>
        </is>
      </c>
      <c r="F50" t="inlineStr">
        <is>
          <t>Day 3 (6/10 Wed = MACC Refinement): Company_Tech_Mapping CAPEX 오류 수정(Hyundai ~$1.1B, Nippon ~$6.0B); #193 LCOS 수치를 Steel_MACC/Carbon_Price_Scenarios에 반영; #195 depreciation 항을 LCOA_AL 수식에 반영 검토.</t>
        </is>
      </c>
      <c r="G50" t="inlineStr">
        <is>
          <t>Completed (Day 2 Literature Search; CAP_Literature_References.xlsx #193-195 추가).</t>
        </is>
      </c>
    </row>
    <row r="51">
      <c r="A51" t="inlineStr">
        <is>
          <t>Week 10 (Day 5)</t>
        </is>
      </c>
      <c r="B51" s="19" t="n">
        <v>46185</v>
      </c>
      <c r="C51" t="inlineStr">
        <is>
          <t>Day 5 실현조건·수단 &amp; 종합 (Fri 2026-06-12, scheduled). 재설정 이후 첫 정규 실행 — 2026-06-10 Reset Kickoff·06-11 Day4 미실행 확인(로그/트래커 행 부재). 데이터 시트 수치 변경 없음(Day 5=종합·수식·정책수단 focus). 산출: 정책수단→실물옵션 4채널 사상표, 공통 비교지표, 상충관계, GCAM 시나리오 선택 provisional 결정. Files: _daily_log_2026-06-12_Day5_Synthesis.md(신규), CAP_Brainstorm_Notes.docx(Week10 Day5 append), Reset/memo 갱신.</t>
        </is>
      </c>
      <c r="D51" t="inlineStr">
        <is>
          <t>형식 lit 등재 없음(Day 5=종합). Day 2 이관 후보 3건 식별: (a) 'Stochastic Carbon Taxes and Capital Turnover: A Real Options Model' ScienceDirect S2590123026009394(2026, 본모형 동형, 우선입수); (b) 'Real options analysis of decarbonization investments in the chemical industry' AppEnergy 397 2025 S0306261925009687(Phase2 석화); (c) Richstein/Neuhoff CCfD de-risking PMC9287801(C3 앵커, 철강 감축비용 −27%).</t>
        </is>
      </c>
      <c r="E51" t="inlineStr">
        <is>
          <t>KEY INSIGHT 1 (수단→채널 사상): 정책수단을 옵션 모형 4 파라미터에 일대일 매핑 — C1 CAPEX보조=strike↓(K_inc(1−s_K)), C2 장기 투입가격계약=상태변수 level↑ &amp; σ↓(JP JOGMEC ¥3T 15yr CfD / KR CHPS 15yr), C3 CCfD=탄소항 floor(Germany €5–6bn 15yr; KR/JP는 합성탄소가 필요해 실현성↓), C4 보증/전환채=r↓(JP GX ¥20T·~¥4.2T; WACC 높은 KR서 한계효과 최대). 한·일 비대칭의 정책 대칭짝: C3=EU 강세, C4=KR 강세. KEY INSIGHT 2 (LCOA 대비 기여): 4-Rung LCOA ladder는 정태 대응물(Rung2≈C1, Rung4≈C3+C4)이나 C2의 분산축소(σ↓)는 표현 불가 → 옵션모형의 ladder 대비 순기여=분산(대기)채널. 논문 방법론 차별화 핵심. KEY INSIGHT 3 (GCAM 선택 provisional): 1차 벤치마크=GCAM-KAIST NZE(산업 466→56 MtCO2e 2060, CCUS 33%; 철강비용+58%/석화+90%). GCAM shadow 탄소가는 기술비용·배치 드라이버로만, KR/JP 실현가(≈$1)로 미가정 — shadow−실현 wedge=정책수단이 메울 격차. CP=하한 반사실, 중간/NDC=강건성.</t>
        </is>
      </c>
      <c r="F51" t="inlineStr">
        <is>
          <t>Day 6(6/13): 투자자·금융·협력자 — 리스크 유형화를 §2.4 상충관계와 연결; Dietz/Caldecott/Hepburn/Karplus/Jenkins·Transition Asia·SteelWatch·InfluenceMap 추적. Day 7(6/14): 대시보드/덱에 4채널표+조건 frontier 반영. 다음 Day1(6/15): 미수행 Day3·4 데이터 따라잡기 + GCAM-KAIST 연도별 H2-DRI 배치곡선 전문 추출(T_i^GCAM 앵커 — 초록만 확보, TODO). 잔여 선결결정: merit-order 배분 NZE 확정후 재검증, 확률과정 확정. Watch: K-MSR(8월), CBAM Q2가격(7-06), KRX KAU선물(H2 2026), JFE EDINET FY2025(6월말), POSCO 광양EAF 화입.</t>
        </is>
      </c>
      <c r="G51" t="inlineStr">
        <is>
          <t>Completed (Day 5 Synthesis; 정책수단 4채널 사상 + 공통지표 + GCAM provisional 결정; daily log 신규; brainstorm Week10 Day5 append; Reset/memo 갱신; backups *_pre2026-06-12.*)</t>
        </is>
      </c>
    </row>
    <row r="52">
      <c r="A52" t="inlineStr">
        <is>
          <t>Week 10 (Day 7)</t>
        </is>
      </c>
      <c r="B52" s="19" t="n">
        <v>46187</v>
      </c>
      <c r="C52" t="inlineStr">
        <is>
          <t>Day 7 Model/Deck/Dashboard Update &amp; Consistency (Sun 2026-06-14, scheduled run). FIRST Day-7 build under the 2026-06-09 project reset (asset-level real-options frame). CAP_MACC_Dashboard.html: added Section 20 (policy-instrument -&gt; option-parameter 4-channel mapping table C1-C4 + channelWaccChart jurisdiction-WACC bar) and Section 21 (realization-condition frontier: formal condition-gap/year-gap definitions + 3 comparison axes + conditionFrontierChart SCHEMATIC s_K x H2-price trade-off). Section 0 rotated (06-07 demoted); header meta + footer set to Week 10 Day 7 / real-options frame. 2 new Chart.js renderers (channelWaccChart, conditionFrontierChart). Build 120,241 -&gt; 136,162 bytes. No primary numeric data changes (Day 7 = visualization/consistency). Deck CAP_Concept_EN.pptx left unchanged: already conceptually aligned to the redefined three-user frame and awaiting model output for illustrative-&gt;actual value replacement (Reset section 6). OPERATIONAL NOTE: Day 6 (Sat 2026-06-13, Investor/finance &amp; collaborators) was NOT executed (no log / no tracker row) -- carried forward to next Day 6.</t>
        </is>
      </c>
      <c r="D52" t="inlineStr">
        <is>
          <t>No new lit refs (Day 7 = dashboard/consistency). Wired in Day-5 (2026-06-12) synthesis content: policy-instrument 4-channel mapping (C1 CAPEX grant=strike, C2 input-price contract=level+sigma, C3 CCfD=carbon floor, C4 guarantees/transition bonds=r) and the realization-condition frontier formalization. Source instruments already in DB lineage: JP JOGMEC Yen3T CfD, KR CHPS 15yr, Germany CCfD R2, JP GX Yen20T bonds.</t>
        </is>
      </c>
      <c r="E52" t="inlineStr">
        <is>
          <t>KEY INSIGHT: Dashboard now carries the redefined frame as live exhibits. Section 20 makes the policy-&gt;option parameter map legible and shows the KR-JP policy symmetry of the cost asymmetry -- C3 (carbon floor) is EU-strong (needs credible ETS, absent in KR/JP), C4 (r-down) is KR-strong (marginal effect scales with WACC: KR ~7-8% vs JP ~3-4%), C2 (long-term input-price contract) is the model's primary channel because it alone compresses sigma as well as raising the pi level -- exactly what the static LCOA ladder (Sections 18-19) cannot price. Section 21 fixes condition-gap as primary metric / year-gap as secondary and shows the C1&lt;-&gt;C2 frontier (SCHEMATIC; numeric frontier pending Phase-1 LSM + GCAM-KAIST annual H2-DRI deployment curve for T_i^GCAM). Confidence: instrument facts HIGH; WACC bands MEDIUM; frontier ILLUSTRATIVE (do not cite numbers).</t>
        </is>
      </c>
      <c r="F52" t="inlineStr">
        <is>
          <t>Next Day 1 (Mon 6/15): catch up missed Day 3 (cost/facility) + Day 4 (state-variable) data; EXTRACT GCAM-KAIST annual H2-DRI deployment curve from full text (For Our Climate #407 / KAIST IAM) to anchor T_i^GCAM -- prerequisite to replace Section 21 schematic with numeric frontier and to start Phase-1 LSM. Catch up missed Day 6 (Sat 6/13) investor/finance &amp; collaborator tracking. Next Day 2: formally ingest 3 carried methodology papers (Stochastic Carbon Taxes &amp; Capital Turnover S2590123026009394; Real options chemical industry AppEnergy 397; Richstein/Neuhoff CCfD PMC9287801) as #196-. Resolve remaining pending decisions: sector-&gt;asset merit-order (re-verify under NZE), stochastic process (GBM-around-trend confirm). Watch: K-MSR trigger bands (Aug 2026); CBAM Q2 price (2026-07-06); KRX KAU futures (H2 2026); JFE EDINET FY2025 (late Jun); POSCO Gwangyang EAF first-heat PR.</t>
        </is>
      </c>
      <c r="G52" t="inlineStr">
        <is>
          <t>Completed (Day 7 Model/Deck/Dashboard Update; CAP_MACC_Dashboard.html Sections 20-21 added, 18/18/18 canvas-renderer match, divs 180/180 balanced; daily log _daily_log_2026-06-14_Day7_Dashboard.md; brainstorm Week 10 Day 7 append; backups *_pre2026-06-14.*). Deck unchanged (awaits model output).</t>
        </is>
      </c>
    </row>
    <row r="53">
      <c r="A53" t="inlineStr">
        <is>
          <t>Week 11 (Day 1)</t>
        </is>
      </c>
      <c r="B53" s="19" t="n">
        <v>46188</v>
      </c>
      <c r="C53" t="inlineStr">
        <is>
          <t>Day 1 GCAM 시나리오 &amp; 부문 경로 (Mon 2026-06-15, scheduled). Carry-forward 1순위 이행: GCAM-KAIST 철강 효율경로 Tᵢ^GCAM 앵커 1차 추출. GCAM-KAIST 1.0 시나리오집합 확정(CurPol/NZ2050/NZ2050_Nuc/NZ2050_NoCCS/NZ2050_Nuc_NoCCS). 철강: H2-DRI 상업전환 onset 2031–2033, 2050까지 조강 ~절반(≈38 Mt) H2-DRI/DRI-CCS, 미저감 고로 단계폐지, H₂수요 0→2.57Mt(2050), 비용 BF-BOF 650k → 950k–1.53M KRW/t. 데이터 시트 수치 변경 없음(외생 앵커 추출·로그 반영). Files: _daily_log_2026-06-15_Day1_GCAM.md(신규), Reset §5 수치앵커 보강, Brainstorm Week11 Day1 append. 데이터품질: 시나리오/onset/탄소가=HIGH, 38Mt=MEDIUM, 연단위곡선=미공개(TODO).</t>
        </is>
      </c>
      <c r="D53" t="inlineStr">
        <is>
          <t>형식 lit 등재 없음(Day 1=외생 앵커 추출). 1차 출처 6건 인용: KAIST EPRG 발표자료(Eom 2022 GCAM-KAIST 1.0), Kim/McJeon/Eom 2022 ECC(S2666278722000058), SFOC/KAIST Driving H2 Steelmaking(qw1sY2e.pdf), For Our Climate #407, Lee 2024 JCP(S0959652624031986 철강+58%/석화+90%), For Our Climate #633(NCC 전기화). 원자료셋 후보: Zenodo 14171830, KOASAS 300934.</t>
        </is>
      </c>
      <c r="E53" t="inlineStr">
        <is>
          <t>KEY INSIGHT 1 (Tᵢ^GCAM 앵커): NZ2050 효율경로 철강 H2-DRI onset=2031–2033(MAC상 H₂수요 최초발생 2033), 2050에 조강 ~절반 전환·미저감 고로 폐지. H₂수요 0→2.57Mt이 배치 proxy, 함의집약도 ~68 kg H₂/t(문헌 50–70 정합) → 배치곡선↔H₂수요 변환 가능. KEY INSIGHT 2 (탄소가 wedge): GCAM 내재 shadow 탄소가 ~0(2025)→~,450/tCO₂(2050,2015USD)는 배치 드라이버일 뿐 KR/JP 실현가(≈) 미가정; shadow−실현 wedge가 정확히 C1–C4 조건집합 크기를 규정. KEY INSIGHT 3 (재정격차 직접증거): POSCO HyREX ₩20T 필요 vs 현 지원 ~₩26.9B(철강예산 10%, 신규설비 내년만료) → C1 CAPEX채널 현 충족도 ≈ 0. KEY INSIGHT 4 (merit-order 정교화): 부문 envelope Q^GCAM(t)를 자산 LCOA 오름차순으로 충전→자산별 Tᵢ^GCAM 할당; NZ2050 vs NZ2050_NoCCS로 기술선택(H2-DRI/DRI-CCS) robustness band 권고.</t>
        </is>
      </c>
      <c r="F53" t="inlineStr">
        <is>
          <t>연 단위 Q^GCAM(t) 확정(승격): Figure 판독/저자데이터/Zenodo·KOASAS 원자료 → Section 21 수치 frontier 교체 + LSM 우변 비교. 미실행 Day 6(투자자·금융, 2주째 이월) 다음 회차 우선. 미실행 Day 3(재라이닝·WACC)·Day 4(수소·전력 변동성) 따라잡기. 석화 Phase2: For Our Climate #633 NCC 전기화 본문. 선결결정 잔여: merit-order(§3 절차 구체화·robustness band 추가, Jinsu 확인 대기), 확률과정(GBM-around-trend). Watch: K-MSR(8월), CBAM Q2가격(7-06), JFE EDINET FY2025(6월말), POSCO 광양EAF 화입, HyREX 신규설비 지원 만료 후속예산.</t>
        </is>
      </c>
      <c r="G53" t="inlineStr">
        <is>
          <t>Completed (Day 1 GCAM 시나리오 &amp; 부문 경로; Tᵢ^GCAM 1차 수치앵커 추출 — onset 2031–2033 / 2050 ~50% / shadow $50→$1,450; daily log 신규; Reset §5 보강; brainstorm Week11 Day1 append; backups *_pre2026-06-15.*). 연 단위 곡선은 미공개 → TODO 승격.</t>
        </is>
      </c>
    </row>
    <row r="54">
      <c r="A54" t="inlineStr">
        <is>
          <t>Week 11 (Day 2)</t>
        </is>
      </c>
      <c r="B54" s="19" t="n">
        <v>46189</v>
      </c>
      <c r="C54" t="inlineStr">
        <is>
          <t>Day 2 Methodology &amp; theory (Tue 2026-06-16, scheduled). FIRST Day-2 under the 2026-06-09 reset (real-options frame). No primary numeric sheet changes (Day 2 = methodology/theory). Ingested carried methodology queue from Day5/Day7 hand-off: verified (b) 'Real options decarbonization chemical industry' (S0306261925009687) is ALREADY #163 -&gt; NOT re-added (dup avoided). Added #196 Stochastic Carbon Taxes &amp; Capital Turnover (Results in Eng 2026, VTR-SRM, isomorphic), #197 Richstein-Neuhoff CCfD iScience 2022 (C3 anchor). Formally logged 4 previously-missing keystones: #198 Longstaff-Schwartz 2001 LSM (solver foundation), #199 Hsieh-Klenow 2009 &amp; #200 Restuccia-Rogerson 2008 (misallocation secondary keystone, flagged missing in memo), #201 Dixit-Pindyck 1994 (primary real-options keystone). Resolved stochastic-process pending decision with empirical grounding.</t>
        </is>
      </c>
      <c r="D54" t="inlineStr">
        <is>
          <t>6 new refs #196-#201; 1 duplicate caught (#163). #196 Stochastic Carbon Taxes &amp; Capital Turnover [METHOD-CORE, isomorphic]; #197 Richstein-Neuhoff CCfD [C3 anchor, steel mitig.cost -27%, floor 79%]; #198 Longstaff-Schwartz LSM [solver foundation]; #199 Hsieh-Klenow misalloc [secondary keystone]; #200 Restuccia-Rogerson misalloc; #201 Dixit-Pindyck Investment under Uncertainty [primary keystone].</t>
        </is>
      </c>
      <c r="E54" t="inlineStr">
        <is>
          <t>KEY INSIGHT 1 (stochastic-process decision RESOLVED): empirical lit (Hassett-Metcalf; Schwartz; oil-price density-forecast studies) confirms commodity prices are better fit by mean-reversion, but GBM is standard for tractability AND GBM OVERSTATES option value (overestimates value-of-waiting). For CAP this matters directionally: GBM-around-declining-trend would INFLATE the estimated firm option-to-wait -&gt; OVERSTATE the conditions/year gap -&gt; overstate required policy support. Decision confirmed: GBM-around-declining-trend as base (tractable, conservative-high on the gap), mean-reversion (Schwartz 1-factor / OU on log-price) as MANDATORY robustness (not optional) because misspecification risk is asymmetric on the headline metric. KEY INSIGHT 2 (solver foundation): Longstaff-Schwartz LSM (#198) is exactly fit for CAP's 2-factor (H2, electricity) + discrete relining-exercise structure where finite-difference is infeasible; spec = backward induction, OLS of continuation value on state-variable polynomial basis (Laguerre alt.), regress in-the-money paths only. KEY INSIGHT 3 (theory triangulation): #196 (Poisson policy-regime jumps) + #201 Dixit-Pindyck (sigma-up raises trigger = C2 sigma-down channel) + #163/#180 Tautorat/CarbonVIX (sigma observable) now form a closed theoretical chain: policy uncertainty -&gt; raised investment trigger -&gt; C2 (input-price contract) compresses sigma -&gt; lowers trigger. This is the model's net contribution over the static LCOA ladder. KEY INSIGHT 4 (misallocation positioned): #199/#200 anchor the SECONDARY interpretation only -- the gap beyond rational waiting -- and the C1-C4 asymmetric-application distortion (Restuccia-Rogerson) grounds the support-design trade-off.</t>
        </is>
      </c>
      <c r="F54" t="inlineStr">
        <is>
          <t>Next Day 3 (Wed 6/17 = cost/facility): SPARK CAPEX/OPEX, relining schedules, jurisdiction WACC -- catch up still-missing Day 3. Day 4 (state vars: H2/electricity volatility) still owed. CARRY-FORWARD: Day 6 (investor/finance &amp; collaborators) now 2+ weeks unexecuted -- PRIORITIZE. Methodology next: write Phase-1 2-factor LSM pseudo-spec (basis fns, exercise dates from relining, GBM-trend + OU robustness) into memo; obtain #196 full text for author names + Poisson-jump calibration; annual Q^GCAM(t) curve still TODO (Zenodo 14171830/KOASAS 300934). Pending decisions remaining: sector-&gt;asset merit-order (Jinsu confirm); stochastic process NOW provisionally resolved (GBM base + MR robustness) pending Jinsu sign-off.</t>
        </is>
      </c>
      <c r="G54" t="inlineStr">
        <is>
          <t>Completed (Day 2 Methodology &amp; theory; 6 refs #196-201 + 1 dup caught; stochastic-process decision resolved w/ empirical grounding; LSM spec direction set; daily log new; brainstorm Week11 Day2 append; backups *_pre2026-06-16.*). No primary numeric changes.</t>
        </is>
      </c>
    </row>
    <row r="55">
      <c r="A55" t="inlineStr">
        <is>
          <t>Week 11 (Day 3)</t>
        </is>
      </c>
      <c r="B55" s="19" t="n">
        <v>46190</v>
      </c>
      <c r="C55" t="inlineStr">
        <is>
          <t>Day 3 비용 &amp; 시설 데이터 (SPARK + 자산) (Wed 2026-06-17, scheduled). 재설정 이후 첫 정규 Day-3 — 수주째 이월된 SPARK 비용엔진 입력을 정식 구축. 신규 시트 SPARK_CostEngine_P1: BlockA 증분 CAPEX(=strike): H2-DRI 그린필드 ~$830/t cap(전해조 제외 ~$620), 회피 재라이닝 ~$200/t cap, 순 strike K_inc ~$420/t(재라이닝 시점)·~$620(off-cycle). BlockB ΔOPEX 강도(=확률적 payoff): H2 ~55–65 kg/t, 전력 ~0.8 MWh/t(전해조 포함시 ~3.5–3.8), DR펠릿 ~1.6 t/t, 코킹콜 BF측 ~0.75 t/t, 배출 BF ~2.0/H2-DRI ~0.1 tCO2/t. BlockC 5사×4채널 자산표(규모·타이밍·집약도·관할권). BlockD 관할권 WACC: 기업 WACC POSCO ~4.8%/Nippon ~2.3%, 그린프로젝트 hurdle KR ~7–8%/JP ~3–4%. backup *_pre2026-06-17.xlsx.bak.</t>
        </is>
      </c>
      <c r="D55" t="inlineStr">
        <is>
          <t>형식 lit 등재 없음(Day 3=데이터). 1차 출처 6건: DIW DP2082 CAPEX, LBL Green Steel DRI, steelonthenet/ACCR 재라이닝, Midrex/SteelWatch/Lhyfe 집약도, GuruFocus WACC.</t>
        </is>
      </c>
      <c r="E55" t="inlineStr">
        <is>
          <t>KEY INSIGHT 1 (옵션 사상 완성): SPARK 입력이 옵션 모형에 1:1 사상 — 증분 CAPEX=strike K_inc, ΔOPEX(p_H2,p_elec)=확률적 payoff. 2요인(H2·전력)이 OPEX의 지배 항. 의사결정: NPV[ΣΔOPEX]−K_inc &gt; 대기옵션가치(LSM #198). KEY INSIGHT 2 (타이밍 채널 정량화): 재라이닝 시점 전환 strike ~$420/t vs off-cycle ~$620/t — 차이 ~$200/t cap이 '재라이닝까지 대기'의 옵션가치 = memo 타이밍 채널의 수치 앵커. KEY INSIGHT 3 (WACC 구분): 기업 WACC(2–5%)와 프로젝트 hurdle(3–8%)을 분리 — 7–8%/3–4% 밴드는 first-of-a-kind 위험조정 프로젝트율, 기업 WACC는 기술 de-risk 시 수렴하는 하한. r-밴드로 보고(GBM/MR 밴드와 동형). KEY INSIGHT 4 (탄소 채널 사실상 사망): BF ~2.0 vs H2-DRI ~0.1 tCO2/t 차이는 크나 KR/JP 실현 탄소가 ~$1 ⇒ payoff 기여 미미 → C1–C4 조건집합이 메워야 할 격차 재확인.</t>
        </is>
      </c>
      <c r="F55" t="inlineStr">
        <is>
          <t>다음 Day 4(목 6/18): 상태변수 캘리브레이션 — 수소·전력 가격 추세·변동성(Carbon VIX #180); SPARK_CostEngine_P1의 p_H2·p_elec 확률과정 파라미터 채우기. 미실행 Day 6(투자자·금융, 3주째 이월) 최우선. TODO: 연단위 Q^GCAM(t)(Zenodo 14171830/KOASAS 300934); DR펠릿 프리미엄·자산별 진짜 단가(Phase-2); JFE EDINET FY2025(6월말); POSCO 광양 EAF 화입. 선결결정: merit-order(Jinsu 확인 대기), 확률과정(GBM+MR 잠정).</t>
        </is>
      </c>
      <c r="G55" t="inlineStr">
        <is>
          <t>Completed (Day 3 Cost &amp; facility; SPARK_CostEngine_P1 신규 4블록 — 증분 CAPEX/ΔOPEX 강도/5사 4채널/관할권 WACC; daily log 신규; brainstorm Week11 Day3 append; backups *_pre2026-06-17.*). 1차 수치 변경 = 신규 비용엔진 시트만(기존 시트 불변).</t>
        </is>
      </c>
    </row>
    <row r="56">
      <c r="A56" t="inlineStr">
        <is>
          <t>Week 11 (Day 4)</t>
        </is>
      </c>
      <c r="B56" s="19" t="inlineStr">
        <is>
          <t>2026-06-18</t>
        </is>
      </c>
      <c r="C56" t="inlineStr">
        <is>
          <t>Day 4 상태변수 &amp; 캘리브레이션 (Thu 2026-06-18, scheduled). 재설정 이후 첫 정규 Day-4 (구 carbon-pricing → 신 상태변수 캘리브레이션 frame). SPARK_CostEngine_P1 +3블록: BLOCK E 상태변수 drift μ·변동성 σ (p_H2 ~$5–6/kg, μ −4~−7%, σ ~25–35% LOW; p_elec ~$70–120/MWh, σ ~15–25%; p_ore/p_coal/p_scrap/p_carbon auxiliary), BLOCK F 상관행렬 ρ(H2,elec)~0.70, BLOCK G 모델 함의 5점. backup *_pre2026-06-18.xlsx.bak.</t>
        </is>
      </c>
      <c r="D56" t="inlineStr">
        <is>
          <t>No new literature this cycle (Day 4 = calibration focus). Carbon VIX #180 재참조; energy/carbon connectedness 문헌(Frontiers 2023; arXiv 2208.14311) 차용.</t>
        </is>
      </c>
      <c r="E56" t="inlineStr">
        <is>
          <t>σ_H2 = 최대 단일 불확실성·최약식별(LOW, 무 유동 spot) → 헤드라인 frontier는 σ_H2∈[25%,35%]×{GBM,MR} 밴드 보고(Day-2·Day-3 밴드와 동형). ρ(p_H2,p_elec)~0.70 (둘 다 신기술 비용) → 비용분산 증폭 → 대기옵션가치↑ → C1–C4가 메울 격차 확대. 하락 drift(−4~−7%/yr)는 재라이닝까지 대기 최적 강화(strike $420@reline vs $620 off-cycle).</t>
        </is>
      </c>
      <c r="F56" t="inlineStr">
        <is>
          <t>Phase-1 LSM 비용+상태변수 입력 완료. 잔여 단일 입력 = 연단위 Q^GCAM(t) 배치곡선(Day-1 carry; Zenodo 14171830 / KOASAS 300934). Day 6 (투자자·금융 &amp; 협력자) 3주째+ 이월 — 다음 회차 최우선.</t>
        </is>
      </c>
      <c r="G56" t="inlineStr">
        <is>
          <t>Completed (auto)</t>
        </is>
      </c>
    </row>
    <row r="57">
      <c r="A57" t="inlineStr">
        <is>
          <t>Week 11 (Day 5)</t>
        </is>
      </c>
      <c r="B57" t="inlineStr">
        <is>
          <t>2026-06-19</t>
        </is>
      </c>
      <c r="C57" t="inlineStr">
        <is>
          <t>Day 5 실현조건·수단 &amp; 종합 (Fri 2026-06-19, scheduled). 재설정 이후 2번째 정규 Day-5. Day3 비용엔진+Day4 캘리브레이션이 완료됨에 따라 06-12의 정성 4채널 사상(C1–C4)을 **정량 계측**으로 발전 — SPARK_CostEngine_P1 신규 BLOCK H (Instrument Calibration): baseline 격차(π~ −150~−350/t, H2가 격차의 60–65%), 정책이 메울 H2가격 격차 ~/kg ≈ ~10–260/t ≈ ~.85–1.0bn/yr per 4Mt 자산; 채널별 calibrated 요구치(C1 s_K 0.3–0.5+재라이닝타이밍≈32% 암묵그랜트; C2 H2계약~/kg가 주채널; C3 carbon floor ~10–140/tCO2 단독필요≫실현; C4 KR Δr3–4pt≈+⅓ PV); least-cost mix. backup *_pre2026-06-19.xlsx.bak.</t>
        </is>
      </c>
      <c r="D57" t="inlineStr">
        <is>
          <t>형식 lit 등재 없음(Day 5=종합·수식). 신규 1차 출처 다수: CHPS 2026 auction(S&amp;P 061626·SedaientDaily·FuelCellsWorks), JOGMEC 첫 국제 CfD 낙찰(JERA/Mitsui ~$6.8bn), POSCO 광양 EAF 2.5Mt 완공(Korea Times 0618), DE Salzgitter €1.3bn(+€322M), JP GX NSC $1.75bn/JFE $690M EAF, KR-ETS Ph4·JP GX-ETS Ph2 탄소가 상승.</t>
        </is>
      </c>
      <c r="E57" t="inlineStr">
        <is>
          <t>KEY INSIGHT 1 (정량 격차): 정책이 메워야 할 격차의 헤드라인 = H2 가격갭 ~$3.5–4/kg(breakeven p_H2 ~$2/kg vs 현 $5–6) ≈ ~$210–260/t ≈ ~$0.85–1.0bn/yr/4Mt자산 — POSCO ₩20T·JOGMEC ¥3T 규모와 정합. KEY INSIGHT 2 (formula v0.6 σ-압축 정량화): 결합 비용드라이버 σ=√(σ_H2²+σ_elec²+2ρσ_H2σ_elec); σ_H2=.30,σ_elec=.20,ρ=.70 → ~0.46. C2 H2계약이 σ_H2→0 + 교차항 제거 → ~0.20 (½ 이상 절감, ρ=0.70 때문에 super-additive). 정태 LCOA ladder가 가격화 못하는 옵션모형 순기여를 수치로 못박음. KEY INSIGHT 3 (현실 경로 = scrap-EAF 브리지): KR/JP 정책지원(광양 EAF 2.5Mt, NSC Yawata·JFE Kurashiki EAF, GX $1.75bn/$690M)이 실제로는 H2-DRI가 아니라 scrap-EAF 다리에 투입 → H2-DRI strike의 C1 충족도 여전히 ≈0(Day-1 HyREX 격차 재확인). KEY INSIGHT 4 (탄소채널 premise 갱신): '죽은 채널(~$1)' 전제 일부 완화 — KR-ETS Ph4 KAU~$15(2x)·K-MSR·경매↑, JP GX-ETS Ph2 mandatory FY26·band ¥4–6k(~$27–40 by2027). 여전히 무상할당으로 실효가 muted·GCAM shadow($1,450/2050)에 ≪ → C3는 robustness 시나리오로 격상.</t>
        </is>
      </c>
      <c r="F57" t="inlineStr">
        <is>
          <t>Day 6(투자자·금융 &amp; 협력자) 4주째 이월 — 다음 회차 최우선(전환금융·좌초자산·리스크유형화를 BLOCK H least-cost mix와 연결; Dietz/Caldecott/Hepburn/Karplus/Jenkins·Transition Asia·SteelWatch·InfluenceMap). 연단위 Q^GCAM(t) 곡선 = Phase-1 LSM 유일 잔여입력(Zenodo 14171830/KOASAS 300934). BLOCK H breakeven p_H2·σ-압축 수치를 LSM 1차 실행으로 검증. 광양 EAF(scrap)와 HyREX(H2-DRI) 자산 구분 명시(BLOCK C 주석). Watch: JFE EDINET FY2025(6월말), CBAM Q2가격(7-06), K-MSR 트리거(8월), POSCO HyREX 2028 pilot.</t>
        </is>
      </c>
      <c r="G57" t="inlineStr">
        <is>
          <t>Completed (Day 5 Synthesis; BLOCK H Instrument Calibration 정량화 + formula v0.6 σ-압축 ~0.46→~0.20; 4채널 calibrated 요구치 + least-cost mix; 탄소채널 premise 갱신; daily log 신규; brainstorm Week11 Day5 append; Reset §5 갱신; backups *_pre2026-06-19.*)</t>
        </is>
      </c>
    </row>
    <row r="58">
      <c r="A58" t="inlineStr">
        <is>
          <t>Week 11 (Day 6)</t>
        </is>
      </c>
      <c r="B58" t="inlineStr">
        <is>
          <t>2026-06-20</t>
        </is>
      </c>
      <c r="C58" t="inlineStr">
        <is>
          <t>Day 6 투자자·금융 &amp; 협력자 (Sat 2026-06-20, scheduled). 재설정(2026-06-09) 이후 첫 정규 Day-6 — 4주째 이월된 최우선 회차 실행. 1차 수치 시트(SPARK/MACC/Company) 불변(Day 6 = 투자자·금융·협력자 추적 focus). 좌초자산·전환금융·리스크 유형화(financeable/market-margin/stranding)를 Day-5 BLOCK H least-cost mix·C4 채널과 연결(개념 매핑, 시트 미변경). 신규 lit #202-#204.</t>
        </is>
      </c>
      <c r="D58" t="inlineStr">
        <is>
          <t>3 new refs #202-#204. #202 Stranded Futures? ERSS 2026-02 [MARQUEE — asset-level 좌초위험, JP/KR 철강·석화 포함, 42% 5년내 임계]; #203 Role of Hydrogen in US Iron&amp;Steel EST [MARQUEE — H2-DR 단독 비용 ~5x 과대, CCS가 더 경제적일 수 있음 → Phase-1 격차 상한 caveat, Karplus축]; #204 Decarbonizing Global Steel Production Nat Rev Earth&amp;Env 2026 [배출집약도 앵커 BF~2.3/EAF~0.68/H2-전해 &gt;80% 감축].</t>
        </is>
      </c>
      <c r="E58" t="inlineStr">
        <is>
          <t>KEY INSIGHT 1 (좌초위험 = 조건부): #202가 CAP와 동일 변수축(emission intensity·asset age·tech·carbon-pricing exposure)으로 좌초위험을 정량화 → CAP는 이를 실물옵션(대기·비가역)으로 격상해 "언제·어떤 재무조건에서 전환이 개별 합리적이 되는가"의 *조건부* 좌초로 차별화. "42% 5년내 임계"는 재라이닝 타이밍 채널 독립 검산. KEY INSIGHT 2 (Phase-1 격차는 상한): #203 — H2-DR 단독 가정이 감축비용을 ~5배 과대평가; CCS/경쟁 H2수요 고려 시 더 저렴 → CAP Phase-1(H2-DRI 단독) 정책격차는 over-estimate (Day-2 GBM 과대평가와 같은 방향의 기술선택 버전). robustness로 CCS·scrap-EAF 대안경로 병기 필요. KEY INSIGHT 3 (리스크 유형 전이 동학): stranding은 #202 임계, market-margin은 POSCO S&amp;P negative(단 주동인=EV배터리·oversupply, green-capex는 일부)·유럽 ETS reality-check, financeable은 C2/C4 + 메탈코크스 금융배제(석탄화력→met-coal 확산 가능성, Transition Asia) → 3분류는 BLOCK H 4채널과 직교, LSM 흡수경계(전환 vs 영구좌초)로 표현 가능(Phase-2). KEY INSIGHT 4 (배출집약도 검증): #204 BF~2.3 vs Day-3 SPARK BF~2.0 정합(CAP 보수적 하단).</t>
        </is>
      </c>
      <c r="F58" t="inlineStr">
        <is>
          <t>Day 7(일 6/21) 모델·덱·대시보드 갱신 정규 복귀: #202/#203을 투자자 패널·방법론 footer 반영; 리스크 유형화×BLOCK H 매핑 exhibit. #203 caveat → Phase-1 frontier에 CCS·scrap-EAF 대안경로 robustness 병기. 연단위 Q^GCAM(t)=LSM 유일 잔여입력(Zenodo 14171830/KOASAS 300934, Day-1 이월). ACTION(Jinsu 확인): Oxford SF Summit 2026-06-29(다음주)·Exec Programme·ACS HK(7/7-9)에 CAP 투자자-프레이밍 초록; #202 저자 협업 타진. 신규 선결결정: 기술선택(H2-DRI 단독 vs CCS/scrap-EAF 병기)을 robustness 축에 추가. Watch: Oxford Summit 6/29, JFE EDINET FY2025(6월말), CBAM Q2(7/6), K-MSR(8월).</t>
        </is>
      </c>
      <c r="G58" t="inlineStr">
        <is>
          <t>Completed (Day 6 Investor/Finance &amp; Collaborators; 4주 이월분 실행; 3 refs #202-204 [#202·#203 marquee]; 리스크 유형화 3분류↔BLOCK H 4채널 개념 매핑; #203 caveat로 Phase-1 격차 상한·기술선택 robustness 신규 선결결정; daily log 신규; brainstorm Week11 Day6 append; Reset §5 주석; backups *_pre2026-06-20.*). 1차 수치 시트 불변.</t>
        </is>
      </c>
    </row>
    <row r="59">
      <c r="A59" t="inlineStr">
        <is>
          <t>Week 11 (Day 7)</t>
        </is>
      </c>
      <c r="B59" t="inlineStr">
        <is>
          <t>2026-06-21</t>
        </is>
      </c>
      <c r="C59" t="inlineStr">
        <is>
          <t>Day 7 모델·덱·대시보드 갱신 &amp; 일관성 점검 (Sun 2026-06-21, scheduled). 재설정 이후 2번째 정규 Day-7 (직전 = 06-14). 1차 수치 시트(SPARK/MACC/Company) 불변 — Day 7=일관성·시각화. CAP_MACC_Dashboard.html에 Week-11 사이클 이식: (1) Section 21 frontier를 SCHEMATIC→Day-5 BLOCK H 정량 앵커로 격상(헤드라인 H2가격갭 ~$3.5–4/kg ≈ ~$210–260/t ≈ ~$0.85–1.0bn/yr per 4Mt; 채널 calibrated 요구치 C1 s_K 0.30–0.50·C2 H2~$2/kg 주채널·C3 c_strike ~$110–140/tCO2·C4 KR Δr 3–4pt). (2) Section 22 신규 — 투자자 리스크 유형화 &amp; 수단 calibration: σ-압축 차트(~46%→~20%, ρ=0.70 super-additive), 리스크 3분류(financeable/market-margin/stranding)↔C1–C4 매핑(#202 Stranded Futures·POSCO S&amp;P negative·met-coke 금융배제), #203 Karplus caveat(Phase-1 상한·기술선택 robustness), #204 배출집약도 교차검증(BF 2.3 vs SPARK 2.0). Section 0 회전(06-14 demote), 헤더/푸터 갱신(refs #204). 신규 차트 sigmaCompressionChart. backup *_pre2026-06-21.*.</t>
        </is>
      </c>
      <c r="D59" t="inlineStr">
        <is>
          <t>형식 lit 등재 없음(Day 7=시각화·일관성, 신규 외부 검색 없음). #202–#204(Day-6 등재분)을 대시보드에 반영.</t>
        </is>
      </c>
      <c r="E59" t="inlineStr">
        <is>
          <t>KEY INSIGHT 1 (frontier 격상): Day-5 BLOCK H 앵커로 Section 21 endpoints가 placeholder→calibrated. s_K=50%여도 허용 H2가 $3.8&lt;현 $5.5 → C1 단독 불충분, C2(H2계약~$2/kg)가 주채널임이 도식으로 가시화. 여전히 deterministic 1차근사(pre-LSM). KEY INSIGHT 2 (σ-압축 시각화): C2가 σ_comb를 ~46%→~20%로 절감, ρ=0.70 때문에 super-additive(교차항 동시 제거) — 정태 LCOA ladder가 못 담는 옵션모형 순기여를 차트로 못박음. KEY INSIGHT 3 (투자자 갈래 이식): 리스크 3분류가 C1–C4와 직교 매핑, #202 좌초·#203 상한 caveat·#204 집약도 검증을 단일 Section 22로 통합. 일관성 점검 통과: canvas/getElementById/new Chart 각 19, div 189=189, Section 0–22 연속, 차트 고아 0.</t>
        </is>
      </c>
      <c r="F59" t="inlineStr">
        <is>
          <t>Phase-1 LSM 착수 = 연단위 Q^GCAM(t) 배치곡선 확보 후(Zenodo 14171830/KOASAS 300934, Day-1 이월 지속). LSM 실행으로 BLOCK H deterministic 앵커(breakeven p_H2·σ-압축·채널 요구치)를 내생 frontier로 검증 → Section 21 곡선 교체. 덱(CAP_Concept_EN.pptx)은 model output 대기(가짜수치 미삽입). 선결결정(provisional): GCAM NZ2050, merit-order(Jinsu 확인 대기), 확률과정 GBM+MR, 기술선택(H2-DRI 단독 vs CCS/scrap-EAF) robustness. ACTION(Jinsu): Oxford SF Summit 6/29. Watch: JFE EDINET FY2025(6월말), CBAM Q2(7/6), K-MSR(8월).</t>
        </is>
      </c>
      <c r="G59" t="inlineStr">
        <is>
          <t>Completed (Day 7 Dashboard/consistency; Section 21 frontier SCHEMATIC→Day-5 정량 앵커, Section 22 신규 투자자 리스크 유형화 &amp; σ-압축 차트, Section 0 회전, 헤더/푸터 refs #204; sigmaCompressionChart 신규; 일관성 점검 19/19/19·div 189·Section 0–22 통과; daily log 신규; brainstorm Week11 Day7 append; backups *_pre2026-06-21.*). 1차 수치 시트 불변.</t>
        </is>
      </c>
    </row>
    <row r="60">
      <c r="A60" s="5" t="inlineStr">
        <is>
          <t>2026-06-29 (Session)</t>
        </is>
      </c>
      <c r="B60" s="20" t="n">
        <v>46202</v>
      </c>
      <c r="C60" s="5" t="inlineStr">
        <is>
          <t>연구노트 총정리 &amp; 파일 정리 (2026-06-29). 전체 연구노트 구조화: 브레인스토밍→현재 상태까지 체계 정리. 파일 구조 정리: 21개 일별 로그 → research/daily_logs/, HTML → output/html/, PNG → output/figures/, Python 스크립트 → src/, PPT 아카이브 → presentations/archive/. 신규 파일: research/CAP_Daily_Logs_Consolidated.md (21개 일지 통합, 1618줄), research/CAP_Research_Notes.md (연구노트 총정리, 10섹션). 1차 수치 시트 불변.</t>
        </is>
      </c>
      <c r="D60" s="5" t="inlineStr">
        <is>
          <t>신규 lit 등재 없음. 기존 #196-#204 확인.</t>
        </is>
      </c>
      <c r="E60" s="5" t="inlineStr">
        <is>
          <t>KEY FINDING 1 (연구노트 총정리): 브레인스토밍→현재(Day7 6/21)까지의 연구 발전을 10섹션으로 구조화: (1) 구 5-Gaps 기원, (2) 2026-06-09 재설계, (3) 연구질문/조건격차, (4) D-P 이론, (5) 2요인 LSM, (6) C1-C4 채널, (7) 캘리브레이션, (8) 정량 결과, (9) 투자자 프레이밍, (10) 미결사항. KEY FINDING 2 (CAP Positioning 갱신): Literature References의 CAP Positioning 시트를 구 5-gaps → 신 실물옵션 프레임으로 전면 교체(6개 차별화 항목: 자산단위 실물옵션, 조건격차, C1-C4 캘리브레이션, σ-압축 채널, KR/JP 비대칭, 좌초자산 통합).</t>
        </is>
      </c>
      <c r="F60" s="5" t="inlineStr">
        <is>
          <t>다음 우선순위: (1) Phase-1 LSM 착수를 위한 연단위 Q^GCAM(t) 배치곡선 확보 (Zenodo 14171830/KOASAS 300934 — 유일 잔여 입력). (2) Jinsu 선결결정 확인: 확률과정/merit-order/GCAM 시나리오/기술선택. (3) Oxford SF Summit 2026-06-29 투자자 프레이밍 초록 검토. Watchpoints: CBAM Q2(7/6), K-MSR(8월), JFE EDINET FY2025(6월말).</t>
        </is>
      </c>
      <c r="G60" s="5" t="inlineStr">
        <is>
          <t>Completed (연구노트 총정리 + 파일 정리 + Word/Excel 업데이트)</t>
        </is>
      </c>
    </row>
  </sheetData>
  <autoFilter ref="A1:G1"/>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10" defaultColWidth="8.83203125" defaultRowHeight="15"/>
  <cols>
    <col width="15" customWidth="1" min="1" max="1"/>
    <col width="31" customWidth="1" min="2" max="3"/>
    <col width="17" customWidth="1" min="4" max="4"/>
    <col width="18" customWidth="1" min="5" max="5"/>
    <col width="22" customWidth="1" min="6" max="6"/>
    <col width="26" customWidth="1" min="7" max="7"/>
    <col width="60" customWidth="1" min="8" max="10"/>
  </cols>
  <sheetData>
    <row r="1">
      <c r="A1" s="3" t="inlineStr">
        <is>
          <t>Company</t>
        </is>
      </c>
      <c r="B1" s="3" t="inlineStr">
        <is>
          <t>Site</t>
        </is>
      </c>
      <c r="C1" s="3" t="inlineStr">
        <is>
          <t>Furnace</t>
        </is>
      </c>
      <c r="D1" s="3" t="inlineStr">
        <is>
          <t>Inner_Volume_m3</t>
        </is>
      </c>
      <c r="E1" s="3" t="inlineStr">
        <is>
          <t>Last_Reline_Year</t>
        </is>
      </c>
      <c r="F1" s="3" t="inlineStr">
        <is>
          <t>Next_Reline_Year_Est</t>
        </is>
      </c>
      <c r="G1" s="3" t="inlineStr">
        <is>
          <t>Typical_Campaign_Life_yr</t>
        </is>
      </c>
      <c r="H1" s="3" t="inlineStr">
        <is>
          <t>Post_Reline_Asset_Life_to</t>
        </is>
      </c>
      <c r="I1" s="3" t="inlineStr">
        <is>
          <t>Decarbonization_Alignment</t>
        </is>
      </c>
      <c r="J1" s="3" t="inlineStr">
        <is>
          <t>Source</t>
        </is>
      </c>
    </row>
    <row r="2">
      <c r="A2" t="inlineStr">
        <is>
          <t>POSCO</t>
        </is>
      </c>
      <c r="B2" t="inlineStr">
        <is>
          <t>Pohang</t>
        </is>
      </c>
      <c r="C2" t="inlineStr">
        <is>
          <t>BF No.4</t>
        </is>
      </c>
      <c r="D2" t="n">
        <v>5600</v>
      </c>
      <c r="E2" t="n">
        <v>2024</v>
      </c>
      <c r="F2" t="n">
        <v>2044</v>
      </c>
      <c r="G2" t="n">
        <v>20</v>
      </c>
      <c r="H2" t="inlineStr">
        <is>
          <t>2044 (post $381.7M modernization)</t>
        </is>
      </c>
      <c r="I2" t="inlineStr">
        <is>
          <t>Initial build 1981 (original 3,975 m³), later upgraded to 5,600 m³. Apr 2024 $381.7M modernization + smart furnace → expected operational life to ~2044. Locks coal through ~2044 → Gap 5 / stranded-asset risk; overlaps HyREX 2030 commercialization target — parallel-track lock-in even as HyREX demo commissions 2028.</t>
        </is>
      </c>
      <c r="J2" t="inlineStr">
        <is>
          <t>GMK 2024; SteelOrbis 2024; For Our Climate 2025; Lead the Charge 2025</t>
        </is>
      </c>
    </row>
    <row r="3">
      <c r="A3" t="inlineStr">
        <is>
          <t>POSCO</t>
        </is>
      </c>
      <c r="B3" t="inlineStr">
        <is>
          <t>Gwangyang</t>
        </is>
      </c>
      <c r="C3" t="inlineStr">
        <is>
          <t>BF No.2</t>
        </is>
      </c>
      <c r="D3" t="n">
        <v>3950</v>
      </c>
      <c r="E3" t="n">
        <v>2025</v>
      </c>
      <c r="F3" t="n">
        <v>2040</v>
      </c>
      <c r="G3" t="n">
        <v>15</v>
      </c>
      <c r="H3" t="inlineStr">
        <is>
          <t>2040 (15yr reline extension)</t>
        </is>
      </c>
      <c r="I3" t="inlineStr">
        <is>
          <t>137.02 MtCO2 cumulative lock-in (For Our Climate / Climate TRACE — equivalent to annual emissions of ~9.8M S. Koreans, ~1/5 of population). Parallel with Gwangyang 2.5Mtpa EAF start Jun 2026 = textbook parallel-track case. Youth civil suit filed against reline; banks flagged in BankTrack/CSO letter for backing POSCO coal lock-in. Gwangyang is world's highest-emitting steel plant per Climate TRACE.</t>
        </is>
      </c>
      <c r="J3" t="inlineStr">
        <is>
          <t>For Our Climate 2025; Climate TRACE; Seoul Econ Daily 2026-03-31; BankTrack 2025; Eco-Business Jan 2025</t>
        </is>
      </c>
    </row>
    <row r="4">
      <c r="A4" t="inlineStr">
        <is>
          <t>POSCO</t>
        </is>
      </c>
      <c r="B4" t="inlineStr">
        <is>
          <t>Pohang</t>
        </is>
      </c>
      <c r="C4" t="inlineStr">
        <is>
          <t>BF No.3</t>
        </is>
      </c>
      <c r="D4" t="n">
        <v>5600</v>
      </c>
      <c r="E4" t="n">
        <v>2020</v>
      </c>
      <c r="F4" t="n">
        <v>2040</v>
      </c>
      <c r="G4" t="n">
        <v>20</v>
      </c>
      <c r="H4" t="inlineStr">
        <is>
          <t>2040</t>
        </is>
      </c>
      <c r="I4" t="inlineStr">
        <is>
          <t>Mid-life; next decision window ~2040</t>
        </is>
      </c>
      <c r="J4" t="inlineStr">
        <is>
          <t>Global Energy Monitor</t>
        </is>
      </c>
    </row>
    <row r="5">
      <c r="A5" t="inlineStr">
        <is>
          <t>POSCO</t>
        </is>
      </c>
      <c r="B5" t="inlineStr">
        <is>
          <t>Gwangyang</t>
        </is>
      </c>
      <c r="C5" t="inlineStr">
        <is>
          <t>BF No.3</t>
        </is>
      </c>
      <c r="D5" t="n">
        <v>5500</v>
      </c>
      <c r="E5" t="n">
        <v>2013</v>
      </c>
      <c r="F5" t="n">
        <v>2033</v>
      </c>
      <c r="G5" t="n">
        <v>20</v>
      </c>
      <c r="H5" t="inlineStr">
        <is>
          <t>2033 (if relined)</t>
        </is>
      </c>
      <c r="I5" t="inlineStr">
        <is>
          <t>Next reline decision ~2031-2033 → critical CAP decision window</t>
        </is>
      </c>
      <c r="J5" t="inlineStr">
        <is>
          <t>POSCO Newsroom; GEM</t>
        </is>
      </c>
    </row>
    <row r="6">
      <c r="A6" t="inlineStr">
        <is>
          <t>Nippon Steel</t>
        </is>
      </c>
      <c r="B6" t="inlineStr">
        <is>
          <t>Kyushu (Yawata)</t>
        </is>
      </c>
      <c r="C6" t="inlineStr">
        <is>
          <t>BF</t>
        </is>
      </c>
      <c r="F6" t="inlineStr">
        <is>
          <t>Shutdown timed to EAF start H1 FY2028</t>
        </is>
      </c>
      <c r="G6" t="n">
        <v>20</v>
      </c>
      <c r="H6" t="inlineStr">
        <is>
          <t>Retired FY2028 when 2.0Mtpa EAF commissioned</t>
        </is>
      </c>
      <c r="I6" t="inlineStr">
        <is>
          <t>Construction formally commenced Apr 2026 (SteelOrbis/GMK); Tenova/GE Vernova Consteel 340t (world-largest) → Gap 5 POSITIVE case: EAF substitution directly replaces BF rather than running in parallel.</t>
        </is>
      </c>
      <c r="J6" t="inlineStr">
        <is>
          <t>SteelOrbis 2026-04; GMK 2026-04; S&amp;P Global 2026-02; Thermal Processing 2026</t>
        </is>
      </c>
    </row>
    <row r="7">
      <c r="A7" t="inlineStr">
        <is>
          <t>Nippon Steel</t>
        </is>
      </c>
      <c r="B7" t="inlineStr">
        <is>
          <t>Setouchi (Hirohata)</t>
        </is>
      </c>
      <c r="C7" t="inlineStr">
        <is>
          <t>BF legacy</t>
        </is>
      </c>
      <c r="F7" t="inlineStr">
        <is>
          <t>N/A (no BF on site)</t>
        </is>
      </c>
      <c r="G7" t="inlineStr">
        <is>
          <t>N/A</t>
        </is>
      </c>
      <c r="H7" t="inlineStr">
        <is>
          <t>Adds 0.5Mtpa EAF H2 FY2029 (110t heat size)</t>
        </is>
      </c>
      <c r="I7" t="inlineStr">
        <is>
          <t>Incremental EAF expansion</t>
        </is>
      </c>
      <c r="J7" t="inlineStr">
        <is>
          <t>Mysteel; Transition Asia 2025</t>
        </is>
      </c>
    </row>
    <row r="8">
      <c r="A8" t="inlineStr">
        <is>
          <t>Nippon Steel</t>
        </is>
      </c>
      <c r="B8" t="inlineStr">
        <is>
          <t>Yamaguchi (Shunan)</t>
        </is>
      </c>
      <c r="C8" t="inlineStr">
        <is>
          <t>BF legacy</t>
        </is>
      </c>
      <c r="F8" t="inlineStr">
        <is>
          <t>N/A</t>
        </is>
      </c>
      <c r="G8" t="inlineStr">
        <is>
          <t>N/A</t>
        </is>
      </c>
      <c r="H8" t="inlineStr">
        <is>
          <t>Modify/restart 0.4Mtpa EAF</t>
        </is>
      </c>
      <c r="I8" t="inlineStr">
        <is>
          <t>Brownfield EAF</t>
        </is>
      </c>
      <c r="J8" t="inlineStr">
        <is>
          <t>Transition Asia June 2025 QuickTake</t>
        </is>
      </c>
    </row>
    <row r="9">
      <c r="A9" t="inlineStr">
        <is>
          <t>Nippon Steel</t>
        </is>
      </c>
      <c r="B9" t="inlineStr">
        <is>
          <t>Gary Works (US, via US Steel)</t>
        </is>
      </c>
      <c r="C9" t="inlineStr">
        <is>
          <t>BF No.14 / largest</t>
        </is>
      </c>
      <c r="F9" t="inlineStr">
        <is>
          <t>2026 (begins)</t>
        </is>
      </c>
      <c r="G9" t="n">
        <v>20</v>
      </c>
      <c r="H9" t="inlineStr">
        <is>
          <t>~2046 (20yr campaign)</t>
        </is>
      </c>
      <c r="I9" t="inlineStr">
        <is>
          <t>Canary Media flagged: largest BF getting relined → 20yr coal lock-in; SteelWatch "Redline not Reline" anchor case</t>
        </is>
      </c>
      <c r="J9" t="inlineStr">
        <is>
          <t>Canary Media 2025; Industrious Labs; SteelWatch 2025</t>
        </is>
      </c>
    </row>
    <row r="10">
      <c r="A10" t="inlineStr">
        <is>
          <t>Nippon Steel</t>
        </is>
      </c>
      <c r="B10" t="inlineStr">
        <is>
          <t>Group (all 6 BFs)</t>
        </is>
      </c>
      <c r="C10" t="inlineStr">
        <is>
          <t>Relining/major repair by 2030</t>
        </is>
      </c>
      <c r="F10" t="inlineStr">
        <is>
          <t>By 2030</t>
        </is>
      </c>
      <c r="H10" t="inlineStr">
        <is>
          <t>All 6 → ~2030-2050 horizon</t>
        </is>
      </c>
      <c r="I10" t="inlineStr">
        <is>
          <t>Major Gap 5 exposure despite EAF progress — coal-era BFs kept alive through CN2050 target</t>
        </is>
      </c>
      <c r="J10" t="inlineStr">
        <is>
          <t>AIST; SteelWatch CCA 2025 May</t>
        </is>
      </c>
    </row>
    <row r="11">
      <c r="A11" t="inlineStr">
        <is>
          <t>JFE Steel</t>
        </is>
      </c>
      <c r="B11" t="inlineStr">
        <is>
          <t>West Japan (Kurashiki)</t>
        </is>
      </c>
      <c r="C11" t="inlineStr">
        <is>
          <t>BF No.2</t>
        </is>
      </c>
      <c r="D11" t="n">
        <v>4100</v>
      </c>
      <c r="E11" t="n">
        <v>2003</v>
      </c>
      <c r="F11" t="n">
        <v>2028</v>
      </c>
      <c r="G11" t="n">
        <v>25</v>
      </c>
      <c r="H11" t="inlineStr">
        <is>
          <t>N/A — to be retired</t>
        </is>
      </c>
      <c r="I11" t="inlineStr">
        <is>
          <t>Substituted by 2Mtpa EAF (FID Apr2025; start Apr-Jun 2028) → CLEANEST alignment example</t>
        </is>
      </c>
      <c r="J11" t="inlineStr">
        <is>
          <t>GMK; Seneca ESG; Mysteel; GEM</t>
        </is>
      </c>
    </row>
    <row r="12">
      <c r="A12" t="inlineStr">
        <is>
          <t>JFE Steel</t>
        </is>
      </c>
      <c r="B12" t="inlineStr">
        <is>
          <t>West Japan (Kurashiki)</t>
        </is>
      </c>
      <c r="C12" t="inlineStr">
        <is>
          <t>BF No.3</t>
        </is>
      </c>
      <c r="D12" t="n">
        <v>4500</v>
      </c>
      <c r="E12" t="n">
        <v>2010</v>
      </c>
      <c r="F12" t="n">
        <v>2035</v>
      </c>
      <c r="G12" t="n">
        <v>25</v>
      </c>
      <c r="H12" t="inlineStr">
        <is>
          <t>2035</t>
        </is>
      </c>
      <c r="I12" t="inlineStr">
        <is>
          <t>Mid-life; next decision ~2033-2035</t>
        </is>
      </c>
      <c r="J12" t="inlineStr">
        <is>
          <t>GEM Kurashiki profile</t>
        </is>
      </c>
    </row>
    <row r="13">
      <c r="A13" t="inlineStr">
        <is>
          <t>JFE Steel</t>
        </is>
      </c>
      <c r="B13" t="inlineStr">
        <is>
          <t>East Japan (Chiba)</t>
        </is>
      </c>
      <c r="C13" t="inlineStr">
        <is>
          <t>BF No.6</t>
        </is>
      </c>
      <c r="D13" t="n">
        <v>5153</v>
      </c>
      <c r="E13" t="n">
        <v>2009</v>
      </c>
      <c r="F13" t="n">
        <v>2034</v>
      </c>
      <c r="G13" t="n">
        <v>25</v>
      </c>
      <c r="H13" t="inlineStr">
        <is>
          <t>2034</t>
        </is>
      </c>
      <c r="I13" t="inlineStr">
        <is>
          <t>Mid-life; decision ~2032-2034</t>
        </is>
      </c>
      <c r="J13" t="inlineStr">
        <is>
          <t>GEM Chiba profile</t>
        </is>
      </c>
    </row>
    <row r="14">
      <c r="A14" t="inlineStr">
        <is>
          <t>Kobe Steel</t>
        </is>
      </c>
      <c r="B14" t="inlineStr">
        <is>
          <t>Kakogawa</t>
        </is>
      </c>
      <c r="C14" t="inlineStr">
        <is>
          <t>BF No.2 / No.3</t>
        </is>
      </c>
      <c r="F14" t="inlineStr">
        <is>
          <t>~2030s</t>
        </is>
      </c>
      <c r="G14" t="n">
        <v>20</v>
      </c>
      <c r="H14" t="inlineStr">
        <is>
          <t>Extended via H2-injection pilots</t>
        </is>
      </c>
      <c r="I14" t="inlineStr">
        <is>
          <t>NG-DRI in Oman bypasses domestic BF retirement decision — Gap 4 (overseas-shift) concern</t>
        </is>
      </c>
      <c r="J14" t="inlineStr">
        <is>
          <t>Kobe Steel Report; GEM | UPDATE 2026-05-27 (Day 3): Kobe May 2026 Kakogawa announcement — 700ktpa scrap melter NOT a BF retirement; mixed-feed converter process PRESERVES Kakogawa BF asset. Implied campaign-life extension to 2040+ via partial decarb pathway. Gap 5 lock-in INTENSIFIED, not relieved.</t>
        </is>
      </c>
    </row>
    <row r="15">
      <c r="A15" t="inlineStr">
        <is>
          <t>Hyundai Steel</t>
        </is>
      </c>
      <c r="B15" t="inlineStr">
        <is>
          <t>Dangjin</t>
        </is>
      </c>
      <c r="C15" t="inlineStr">
        <is>
          <t>BF No.1</t>
        </is>
      </c>
      <c r="D15" t="n">
        <v>5250</v>
      </c>
      <c r="E15" t="n">
        <v>2010</v>
      </c>
      <c r="F15" t="n">
        <v>2030</v>
      </c>
      <c r="G15" t="n">
        <v>20</v>
      </c>
      <c r="H15" t="inlineStr">
        <is>
          <t>2030 reline decision window</t>
        </is>
      </c>
      <c r="I15" t="inlineStr">
        <is>
          <t>2030 reline decision window — coincides with Korea NDC 2030 -35% checkpoint + K-ETS Phase 4 final compliance year + SBTi V2 (2028 mandatory) interim target. NO domestic EAF substitute confirmed yet in Korea (Korean scrap program $116M is incremental, not substitutive); HPLS Louisiana 2.7Mtpa EAF is structurally SEPARATE. May 13 2026: Gap 5 critical decision — if BF1 relined 2030, 20yr lock-in to 2050 directly conflicts with Korea 2050 NDC; if retired without EAF substitute, capacity loss. Hyundai Q1 2026 OP KRW 15.7B 66% below consensus (Seoul Economic Daily 2026-04-24) flags financial constraint on Dangjin EAF FID by 2030.</t>
        </is>
      </c>
      <c r="J15" t="inlineStr">
        <is>
          <t>Hyundai Newsroom; GEM; SeDaily 2026-04-24 (Q1 results); SBTi V2 timing; ICAP K-ETS Phase 4</t>
        </is>
      </c>
    </row>
    <row r="16">
      <c r="A16" t="inlineStr">
        <is>
          <t>Hyundai Steel</t>
        </is>
      </c>
      <c r="B16" t="inlineStr">
        <is>
          <t>Dangjin</t>
        </is>
      </c>
      <c r="C16" t="inlineStr">
        <is>
          <t>BF No.2</t>
        </is>
      </c>
      <c r="D16" t="n">
        <v>5250</v>
      </c>
      <c r="E16" t="n">
        <v>2013</v>
      </c>
      <c r="F16" t="n">
        <v>2033</v>
      </c>
      <c r="G16" t="n">
        <v>20</v>
      </c>
      <c r="H16" t="inlineStr">
        <is>
          <t>2033</t>
        </is>
      </c>
      <c r="I16" t="inlineStr">
        <is>
          <t>Coordination with Pohang scrap upgrade ambiguous</t>
        </is>
      </c>
      <c r="J16" t="inlineStr">
        <is>
          <t>GEM</t>
        </is>
      </c>
    </row>
    <row r="17">
      <c r="A17" t="inlineStr">
        <is>
          <t>Hyundai Steel</t>
        </is>
      </c>
      <c r="B17" t="inlineStr">
        <is>
          <t>Dangjin</t>
        </is>
      </c>
      <c r="C17" t="inlineStr">
        <is>
          <t>BF No.3</t>
        </is>
      </c>
      <c r="D17" t="n">
        <v>5250</v>
      </c>
      <c r="E17" t="n">
        <v>2015</v>
      </c>
      <c r="F17" t="n">
        <v>2035</v>
      </c>
      <c r="G17" t="n">
        <v>20</v>
      </c>
      <c r="H17" t="inlineStr">
        <is>
          <t>2035</t>
        </is>
      </c>
      <c r="I17" t="inlineStr">
        <is>
          <t>Young BF — structural lock-in for carbon neutral 2050</t>
        </is>
      </c>
      <c r="J17" t="inlineStr">
        <is>
          <t>GEM</t>
        </is>
      </c>
    </row>
    <row r="18">
      <c r="A18" t="inlineStr">
        <is>
          <t>POSCO</t>
        </is>
      </c>
      <c r="B18" t="inlineStr">
        <is>
          <t>Gwangyang</t>
        </is>
      </c>
      <c r="C18" t="inlineStr">
        <is>
          <t>BF No.4</t>
        </is>
      </c>
      <c r="D18" t="n">
        <v>5500</v>
      </c>
      <c r="E18" t="n">
        <v>2018</v>
      </c>
      <c r="F18" t="n">
        <v>2038</v>
      </c>
      <c r="G18" t="n">
        <v>20</v>
      </c>
      <c r="H18" t="inlineStr">
        <is>
          <t>2038</t>
        </is>
      </c>
      <c r="I18" t="inlineStr">
        <is>
          <t>May 13 2026 — Gwangyang BF No.4 mid-life (last reline 2018; next decision ~2036-2038). Asset life runs PAST HyREX 2028 demonstration commissioning and 2030 commercialization-target window. CAP Gap 5 implication: even if HyREX hits 2030 commercial milestone, Gwangyang BF4 absorbs 5-7 Mt/yr crude steel demand on coal route through ~2038 → Phase 2 HyREX 1.5Mt commercial slot cannot mechanically replace Gwangyang BF capacity until BF4 retires.</t>
        </is>
      </c>
      <c r="J18" t="inlineStr">
        <is>
          <t>GEM Gwangyang profile; POSCO Newsroom; CAP residual-life estimate</t>
        </is>
      </c>
    </row>
    <row r="19">
      <c r="A19" t="inlineStr">
        <is>
          <t>POSCO</t>
        </is>
      </c>
      <c r="B19" t="inlineStr">
        <is>
          <t>Gwangyang</t>
        </is>
      </c>
      <c r="C19" t="inlineStr">
        <is>
          <t>BF No.5</t>
        </is>
      </c>
      <c r="D19" t="n">
        <v>5500</v>
      </c>
      <c r="E19" t="n">
        <v>2013</v>
      </c>
      <c r="F19" t="n">
        <v>2033</v>
      </c>
      <c r="G19" t="n">
        <v>20</v>
      </c>
      <c r="H19" t="inlineStr">
        <is>
          <t>2033 (if relined)</t>
        </is>
      </c>
      <c r="I19" t="inlineStr">
        <is>
          <t>May 13 2026 — Gwangyang BF No.5 next-reline decision window 2031-2033 = CRITICAL CAP decision window (parallel to BF3 same site). 137MtCO2 cumulative lock-in concern already documented for BF2 reline; BF5 represents the next high-salience decision point.</t>
        </is>
      </c>
      <c r="J19" t="inlineStr">
        <is>
          <t>GEM Gwangyang profile; For Our Climate 2025; Climate TRACE</t>
        </is>
      </c>
    </row>
    <row r="20">
      <c r="A20" t="inlineStr">
        <is>
          <t>Nippon Steel</t>
        </is>
      </c>
      <c r="B20" t="inlineStr">
        <is>
          <t>Group (Yawata)</t>
        </is>
      </c>
      <c r="C20" t="inlineStr">
        <is>
          <t>BF retirement timed to EAF FY2028</t>
        </is>
      </c>
      <c r="F20" t="inlineStr">
        <is>
          <t>FY2028 retirement</t>
        </is>
      </c>
      <c r="H20" t="inlineStr">
        <is>
          <t>FY2028</t>
        </is>
      </c>
      <c r="I20" t="inlineStr">
        <is>
          <t>May 13 2026 — Yawata 2.0Mtpa Tenova/GE Vernova Consteel 340t EAF construction formally began Apr 2026 (S&amp;P Global 2026-02-05; SteelOrbis 2026-04). Yawata BF retired upon EAF commissioning H1 FY2028 (Apr-Sep 2028). CLEANEST Japan example of BF retirement timed to EAF start. Gap 5 POSITIVE datapoint.</t>
        </is>
      </c>
      <c r="J20" t="inlineStr">
        <is>
          <t>S&amp;P Global 2026-02-05; SteelOrbis 2026-04; GE Vernova PR 2026; Tenova PR 2026</t>
        </is>
      </c>
    </row>
    <row r="21">
      <c r="A21" t="inlineStr">
        <is>
          <t>Asahi Kasei (AMEC)</t>
        </is>
      </c>
      <c r="B21" t="inlineStr">
        <is>
          <t>Mizushima (Okayama)</t>
        </is>
      </c>
      <c r="C21" t="inlineStr">
        <is>
          <t>Ethylene cracker (AMEC)</t>
        </is>
      </c>
      <c r="F21" t="inlineStr">
        <is>
          <t>Shutdown FY2030 (early retirement)</t>
        </is>
      </c>
      <c r="G21" t="inlineStr">
        <is>
          <t>N/A</t>
        </is>
      </c>
      <c r="H21" t="inlineStr">
        <is>
          <t>Retired FY2030 — life compression</t>
        </is>
      </c>
      <c r="I21" t="inlineStr">
        <is>
          <t>Asahi Kasei announcement 2026-05-12 (#146): cracker shutdown FY2030 vs ~2040 typical residual life → ~10-yr compression. SM/LDPE/HDPE/ACN/PC-diol all discontinued. Adapt to JV 10% equity (Mitsui 45/Mitsubishi 45/Asahi 10). PETCHEM Gap 5 ANALOG to BF retirement — but going OPPOSITE direction from steel BF reline lock-in.</t>
        </is>
      </c>
      <c r="J21" t="inlineStr">
        <is>
          <t>Asahi Kasei PR 2026-05-12; Mitsui Chemicals PR 2026-05-12</t>
        </is>
      </c>
    </row>
    <row r="22">
      <c r="A22" t="inlineStr">
        <is>
          <t>Mitsui Chemicals (Osaka Petrochemical Industries)</t>
        </is>
      </c>
      <c r="B22" t="inlineStr">
        <is>
          <t>Takaishi (Osaka)</t>
        </is>
      </c>
      <c r="C22" t="inlineStr">
        <is>
          <t>Ethylene cracker (consolidated)</t>
        </is>
      </c>
      <c r="F22" t="inlineStr">
        <is>
          <t>Post-2030 host of consolidated ethylene</t>
        </is>
      </c>
      <c r="H22" t="inlineStr">
        <is>
          <t>Continues post-2030 — receives Mizushima volume</t>
        </is>
      </c>
      <c r="I22" t="inlineStr">
        <is>
          <t>455ktpa Takaishi cracker becomes the consolidated ethylene host (vs 951ktpa pre-consolidation; -52% net capacity). 45/45/10 JV equity finalized 2026-05-12. METI Hard-to-Abate Support Program funds next-gen low-carbon tech at the SISTER Mizushima Works (low-CI ethylene/propylene unit). CAP Implied_MACC: structural (not retrofit MACC).</t>
        </is>
      </c>
      <c r="J22" t="inlineStr">
        <is>
          <t>Mitsui Chemicals PR 2026-05-12; chemxplore.com 2026-05</t>
        </is>
      </c>
    </row>
    <row r="23">
      <c r="A23" t="inlineStr">
        <is>
          <t>Lotte Chemical</t>
        </is>
      </c>
      <c r="B23" t="inlineStr">
        <is>
          <t>Daesan (Korea)</t>
        </is>
      </c>
      <c r="C23" t="inlineStr">
        <is>
          <t>NCC 1 (1.1Mtpa partial shutdown)</t>
        </is>
      </c>
      <c r="F23" t="inlineStr">
        <is>
          <t>Phased 3-yr shutdown 2026-29</t>
        </is>
      </c>
      <c r="H23" t="inlineStr">
        <is>
          <t>KR petchem early retirement (Daesan Project No.1; Hyundai Chem merger; KRW 2.1T gov package)</t>
        </is>
      </c>
      <c r="I23" t="inlineStr">
        <is>
          <t>Asia Business Daily 2026-02-25: Daesan ethylene 1.95Mt → 0.85Mt (–1.1Mt); 3-yr shutdown of 1.1Mt NCC. PETCHEM Gap 5 anchor (Korea side, parallel to Japan Mizushima).</t>
        </is>
      </c>
      <c r="J23" t="inlineStr">
        <is>
          <t>Asia Business Daily 2026-02-25; Businesskorea 2026</t>
        </is>
      </c>
    </row>
    <row r="24">
      <c r="A24" t="inlineStr">
        <is>
          <t>Hanwha Solutions / DL</t>
        </is>
      </c>
      <c r="B24" t="inlineStr">
        <is>
          <t>Yeosu (Korea)</t>
        </is>
      </c>
      <c r="C24" t="inlineStr">
        <is>
          <t>Yeochun NCC Plant 2</t>
        </is>
      </c>
      <c r="F24" t="inlineStr">
        <is>
          <t>Shutdown 2026-27</t>
        </is>
      </c>
      <c r="H24" t="inlineStr">
        <is>
          <t>KR petchem early retirement</t>
        </is>
      </c>
      <c r="I24" t="inlineStr">
        <is>
          <t>Businesskorea 2026: Plant 2 follows Plant 3 shutdown; Plant 1 integrating into Lotte Yeosu via gov-coordinated consolidation. Pairs with Mitsui/Mitsubishi/Asahi JV as cross-jurisdictional life-compression Gap 5 evidence.</t>
        </is>
      </c>
      <c r="J24" t="inlineStr">
        <is>
          <t>Businesskorea 2026; Seoul Economic Daily 2026</t>
        </is>
      </c>
    </row>
    <row r="25">
      <c r="A25" t="inlineStr">
        <is>
          <t>Kobe Steel</t>
        </is>
      </c>
      <c r="B25" t="inlineStr">
        <is>
          <t>Kakogawa</t>
        </is>
      </c>
      <c r="C25" t="inlineStr">
        <is>
          <t>Scrap melter (FY2027 FID, ~early 2030s commissioning)</t>
        </is>
      </c>
      <c r="F25" t="inlineStr">
        <is>
          <t>Commissioning early 2030s</t>
        </is>
      </c>
      <c r="G25" t="n">
        <v>20</v>
      </c>
      <c r="H25" t="inlineStr">
        <is>
          <t>~2055 (20yr scrap melter life)</t>
        </is>
      </c>
      <c r="I25" t="inlineStr">
        <is>
          <t>Partial decarb hybrid; co-exists with Kakogawa BF (BF asset life PRESERVED to 2040+)</t>
        </is>
      </c>
      <c r="J25" t="inlineStr">
        <is>
          <t>SteelOrbis 2026-05; Kallanish 2026-05; Kobe Steel investor materials 2026-05; ~JPY 100B ($670M)</t>
        </is>
      </c>
    </row>
    <row r="26">
      <c r="A26" t="inlineStr">
        <is>
          <t>Nippon Steel</t>
        </is>
      </c>
      <c r="B26" t="inlineStr">
        <is>
          <t>Yamaguchi (Shunan)</t>
        </is>
      </c>
      <c r="C26" t="inlineStr">
        <is>
          <t>BF n/a — brownfield EAF restart</t>
        </is>
      </c>
      <c r="F26" t="inlineStr">
        <is>
          <t>2H FY2028 (Oct 2028-Mar 2029)</t>
        </is>
      </c>
      <c r="G26" t="n">
        <v>20</v>
      </c>
      <c r="H26" t="inlineStr">
        <is>
          <t>~2048 (20yr EAF campaign post-restart)</t>
        </is>
      </c>
      <c r="I26" t="inlineStr">
        <is>
          <t>NEW 2026-06-03 (W9 Day 3): Shunan EAF restart budget confirmed JPY 98.5B ($619M) per Mysteel 2026-02; 0.4Mtpa capacity. NO BF on site — Shunan is brownfield-EAF expansion that consumes part of NSC's JPY 868.7B FY2025 board envelope. CAP Implication: contributes to Japan's structural EAF penetration but does NOT directly substitute for a BF retirement (unlike Yawata 2.0Mtpa EAF FY2028 which replaces Kyushu Works BF). Methodologically distinct: capacity ADDITION vs capacity SUBSTITUTION. Annual-snapshot frameworks aggregate both under 'EAF investment' — CAP must distinguish.</t>
        </is>
      </c>
      <c r="J26" t="inlineStr">
        <is>
          <t>Mysteel 2026-02; Transition Asia June 2025; SteelOrbis 2026-04; CAP methodology note 2026-06-03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10" defaultColWidth="8.83203125" defaultRowHeight="15"/>
  <cols>
    <col width="18" customWidth="1" min="1" max="1"/>
    <col width="9" customWidth="1" min="2" max="2"/>
    <col width="28" customWidth="1" min="3" max="4"/>
    <col width="11" customWidth="1" min="5" max="5"/>
    <col width="10" customWidth="1" min="6" max="6"/>
    <col width="11" customWidth="1" min="7" max="7"/>
    <col width="13" customWidth="1" min="8" max="8"/>
    <col width="16" customWidth="1" min="9" max="9"/>
    <col width="14" customWidth="1" min="10" max="10"/>
    <col width="58.83203125" bestFit="1" customWidth="1" min="11" max="11"/>
    <col width="48" customWidth="1" min="12" max="12"/>
    <col width="32" customWidth="1" min="13" max="13"/>
  </cols>
  <sheetData>
    <row r="1" ht="32" customHeight="1">
      <c r="A1" s="4" t="inlineStr">
        <is>
          <t>Company</t>
        </is>
      </c>
      <c r="B1" s="4" t="inlineStr">
        <is>
          <t>Country</t>
        </is>
      </c>
      <c r="C1" s="4" t="inlineStr">
        <is>
          <t>Component</t>
        </is>
      </c>
      <c r="D1" s="4" t="inlineStr">
        <is>
          <t>Technology</t>
        </is>
      </c>
      <c r="E1" s="4" t="inlineStr">
        <is>
          <t>CAPEX_USD_B</t>
        </is>
      </c>
      <c r="F1" s="4" t="inlineStr">
        <is>
          <t>Share_of_Total_pct</t>
        </is>
      </c>
      <c r="G1" s="4" t="inlineStr">
        <is>
          <t>Capacity_Mtpa</t>
        </is>
      </c>
      <c r="H1" s="4" t="inlineStr">
        <is>
          <t>USD_M_per_Mtpa</t>
        </is>
      </c>
      <c r="I1" s="4" t="inlineStr">
        <is>
          <t>Implied_MACC_USD_per_tCO2</t>
        </is>
      </c>
      <c r="J1" s="4" t="inlineStr">
        <is>
          <t>CO2_Reduction_Potential_Mt_yr</t>
        </is>
      </c>
      <c r="K1" s="4" t="inlineStr">
        <is>
          <t>Asset_Life_End</t>
        </is>
      </c>
      <c r="L1" s="4" t="inlineStr">
        <is>
          <t>Notes</t>
        </is>
      </c>
      <c r="M1" s="4" t="inlineStr">
        <is>
          <t>Source</t>
        </is>
      </c>
    </row>
    <row r="2" ht="64" customHeight="1">
      <c r="A2" t="inlineStr">
        <is>
          <t>POSCO</t>
        </is>
      </c>
      <c r="B2" t="inlineStr">
        <is>
          <t>Korea</t>
        </is>
      </c>
      <c r="C2" t="inlineStr">
        <is>
          <t>HyREX pilot (Pohang 300ktpa)</t>
        </is>
      </c>
      <c r="D2" t="inlineStr">
        <is>
          <t>HyREX (H2 Fluidized bed DRI)</t>
        </is>
      </c>
      <c r="E2" t="n">
        <v>1.2</v>
      </c>
      <c r="F2" t="n">
        <v>9</v>
      </c>
      <c r="G2" t="n">
        <v>0.3</v>
      </c>
      <c r="H2" t="n">
        <v>4000</v>
      </c>
      <c r="I2" t="n">
        <v>115</v>
      </c>
      <c r="J2" t="n">
        <v>0.6</v>
      </c>
      <c r="K2" t="inlineStr">
        <is>
          <t>2035 (pilot→commercial)</t>
        </is>
      </c>
      <c r="L2" s="5" t="inlineStr">
        <is>
          <t>Site approved 2026-03 (1.34M m² reclaimed land Pohang); 300ktpa industrial demonstration commissioning CY2028. Phase 1 of 3-phase 20조원 ($14.7B) total HyREX program per POSCO Newsroom + Seoul Economic Daily Mar 31 2026 (#134).</t>
        </is>
      </c>
      <c r="M2" s="5" t="inlineStr">
        <is>
          <t>POSCO Newsroom 2026-03; GreenSteelWorld; Seoul Economic Daily 2026-03-31; SteelOrbis 2026-04</t>
        </is>
      </c>
    </row>
    <row r="3" ht="128" customHeight="1">
      <c r="A3" t="inlineStr">
        <is>
          <t>POSCO</t>
        </is>
      </c>
      <c r="B3" t="inlineStr">
        <is>
          <t>Korea</t>
        </is>
      </c>
      <c r="C3" t="inlineStr">
        <is>
          <t>HyREX commercial Ph.1 (Pohang)</t>
        </is>
      </c>
      <c r="D3" t="inlineStr">
        <is>
          <t>HyREX + EAF</t>
        </is>
      </c>
      <c r="E3" t="n">
        <v>8</v>
      </c>
      <c r="F3" t="n">
        <v>60</v>
      </c>
      <c r="G3" t="n">
        <v>1.5</v>
      </c>
      <c r="H3" t="n">
        <v>5333</v>
      </c>
      <c r="I3" t="n">
        <v>110</v>
      </c>
      <c r="J3" t="n">
        <v>3.5</v>
      </c>
      <c r="K3" t="inlineStr">
        <is>
          <t>2045+</t>
        </is>
      </c>
      <c r="L3" s="5" t="inlineStr">
        <is>
          <t>Phase 2 of 3-phase 20조원 program. Commercialization target 2030 retained, but industrial-complex window extended to 2041 (POSCO Newsroom 2026). Replaces BF #1 by 2033 (Pohang BF No.1 permanently shut Dec 2021; HyREX 1.5Mt commercial slot is its successor). Implied unit CAPEX ~$5,333/t crude steel sits 30-40% above DIW DP 2082 announced-project upper bound (€4,000/t ≈ $4,400/t) — Gap 1 cross-jurisdictional premium tag.</t>
        </is>
      </c>
      <c r="M3" s="5" t="inlineStr">
        <is>
          <t>POSCO 2050 Roadmap; POSCO Newsroom 2026-03; Seoul Economic Daily 2026-03-31; DIW DP 2082 (2025)</t>
        </is>
      </c>
    </row>
    <row r="4" ht="16" customHeight="1">
      <c r="A4" t="inlineStr">
        <is>
          <t>POSCO</t>
        </is>
      </c>
      <c r="B4" t="inlineStr">
        <is>
          <t>Korea</t>
        </is>
      </c>
      <c r="C4" t="inlineStr">
        <is>
          <t>Gwangyang 2.5Mtpa EAF</t>
        </is>
      </c>
      <c r="D4" t="inlineStr">
        <is>
          <t>Scrap-based EAF</t>
        </is>
      </c>
      <c r="E4" t="n">
        <v>2.5</v>
      </c>
      <c r="F4" t="n">
        <v>19</v>
      </c>
      <c r="G4" t="n">
        <v>2.5</v>
      </c>
      <c r="H4" t="n">
        <v>1000</v>
      </c>
      <c r="I4" t="n">
        <v>1</v>
      </c>
      <c r="J4" t="n">
        <v>3.5</v>
      </c>
      <c r="K4" t="inlineStr">
        <is>
          <t>2046 (20yr EAF life)</t>
        </is>
      </c>
      <c r="L4" s="5" t="inlineStr">
        <is>
          <t>Completion H1 2026 (Jun 2026)</t>
        </is>
      </c>
      <c r="M4" s="5" t="inlineStr">
        <is>
          <t>Seoul Economic Daily 2026-03-31</t>
        </is>
      </c>
    </row>
    <row r="5" ht="16" customHeight="1">
      <c r="A5" t="inlineStr">
        <is>
          <t>POSCO</t>
        </is>
      </c>
      <c r="B5" t="inlineStr">
        <is>
          <t>Korea</t>
        </is>
      </c>
      <c r="C5" t="inlineStr">
        <is>
          <t>FINEX upgrade / CCUS R&amp;D</t>
        </is>
      </c>
      <c r="D5" t="inlineStr">
        <is>
          <t>FINEX + CCS</t>
        </is>
      </c>
      <c r="E5" t="n">
        <v>0.4</v>
      </c>
      <c r="F5" t="n">
        <v>3</v>
      </c>
      <c r="I5" t="n">
        <v>65</v>
      </c>
      <c r="J5" t="n">
        <v>0.3</v>
      </c>
      <c r="K5" t="inlineStr">
        <is>
          <t>2040</t>
        </is>
      </c>
      <c r="L5" s="5" t="inlineStr">
        <is>
          <t>FINEX $227M update 2026</t>
        </is>
      </c>
      <c r="M5" s="5" t="inlineStr">
        <is>
          <t>Fuel Cells Works 2026-03</t>
        </is>
      </c>
    </row>
    <row r="6" ht="16" customHeight="1">
      <c r="A6" t="inlineStr">
        <is>
          <t>POSCO</t>
        </is>
      </c>
      <c r="B6" t="inlineStr">
        <is>
          <t>Korea</t>
        </is>
      </c>
      <c r="C6" t="inlineStr">
        <is>
          <t>Pohang BF No.4 modernization</t>
        </is>
      </c>
      <c r="D6" t="inlineStr">
        <is>
          <t>BF-BOF efficiency (relining)</t>
        </is>
      </c>
      <c r="E6" t="n">
        <v>0.38</v>
      </c>
      <c r="F6" t="n">
        <v>3</v>
      </c>
      <c r="I6" t="n">
        <v>-8.5</v>
      </c>
      <c r="J6" t="n">
        <v>0.2</v>
      </c>
      <c r="K6" t="inlineStr">
        <is>
          <t>2044 (post-reline)</t>
        </is>
      </c>
      <c r="L6" s="5" t="inlineStr">
        <is>
          <t>Extends coal life 20yr — negative-LCOA but Gap 5 concern</t>
        </is>
      </c>
      <c r="M6" s="5" t="inlineStr">
        <is>
          <t>GMK Center 2024; For Our Climate</t>
        </is>
      </c>
    </row>
    <row r="7" ht="16" customHeight="1">
      <c r="A7" t="inlineStr">
        <is>
          <t>POSCO</t>
        </is>
      </c>
      <c r="B7" t="inlineStr">
        <is>
          <t>Korea</t>
        </is>
      </c>
      <c r="C7" t="inlineStr">
        <is>
          <t>Renewable PPA + aux decarb</t>
        </is>
      </c>
      <c r="D7" t="inlineStr">
        <is>
          <t>Energy Efficiency / RE-PPA</t>
        </is>
      </c>
      <c r="E7" t="n">
        <v>0.8</v>
      </c>
      <c r="F7" t="n">
        <v>6</v>
      </c>
      <c r="I7" t="n">
        <v>-8.5</v>
      </c>
      <c r="J7" t="n">
        <v>0.3</v>
      </c>
      <c r="K7" t="inlineStr">
        <is>
          <t>2050</t>
        </is>
      </c>
      <c r="L7" s="5" t="inlineStr">
        <is>
          <t>Residual $800M for aux abatement streams</t>
        </is>
      </c>
      <c r="M7" s="5" t="inlineStr">
        <is>
          <t>POSCO TCFD 2025</t>
        </is>
      </c>
    </row>
    <row r="8" ht="16" customHeight="1">
      <c r="A8" t="inlineStr">
        <is>
          <t>Hyundai Steel</t>
        </is>
      </c>
      <c r="B8" t="inlineStr">
        <is>
          <t>Korea</t>
        </is>
      </c>
      <c r="C8" t="inlineStr">
        <is>
          <t>Dangjin/Pohang scrap program</t>
        </is>
      </c>
      <c r="D8" t="inlineStr">
        <is>
          <t>Scrap EAF upgrade</t>
        </is>
      </c>
      <c r="E8" t="n">
        <v>0.12</v>
      </c>
      <c r="F8" t="n">
        <v>11</v>
      </c>
      <c r="G8" t="n">
        <v>0.3</v>
      </c>
      <c r="H8" t="n">
        <v>400</v>
      </c>
      <c r="I8" t="n">
        <v>0.3</v>
      </c>
      <c r="J8" t="n">
        <v>0.3</v>
      </c>
      <c r="K8" t="inlineStr">
        <is>
          <t>2045</t>
        </is>
      </c>
      <c r="L8" s="5" t="inlineStr">
        <is>
          <t>KRW 170B (~$116M)</t>
        </is>
      </c>
      <c r="M8" s="5" t="inlineStr">
        <is>
          <t>Hyundai Newsroom 2025</t>
        </is>
      </c>
    </row>
    <row r="9" ht="16" customHeight="1">
      <c r="A9" t="inlineStr">
        <is>
          <t>Hyundai Steel</t>
        </is>
      </c>
      <c r="B9" t="inlineStr">
        <is>
          <t>Korea</t>
        </is>
      </c>
      <c r="C9" t="inlineStr">
        <is>
          <t>Dangjin EAF project</t>
        </is>
      </c>
      <c r="D9" t="inlineStr">
        <is>
          <t>Scrap-based EAF</t>
        </is>
      </c>
      <c r="E9" t="n">
        <v>0.98</v>
      </c>
      <c r="F9" t="n">
        <v>89</v>
      </c>
      <c r="G9" t="n">
        <v>0.5</v>
      </c>
      <c r="H9" t="n">
        <v>1960</v>
      </c>
      <c r="I9" t="n">
        <v>1</v>
      </c>
      <c r="J9" t="n">
        <v>0.7</v>
      </c>
      <c r="K9" t="inlineStr">
        <is>
          <t>2046</t>
        </is>
      </c>
      <c r="L9" s="5" t="inlineStr">
        <is>
          <t>Estimated from 2024 disclosures; partial FID</t>
        </is>
      </c>
      <c r="M9" s="5" t="inlineStr">
        <is>
          <t>DART filings 2025</t>
        </is>
      </c>
    </row>
    <row r="10" ht="16" customHeight="1">
      <c r="A10" t="inlineStr">
        <is>
          <t>Hyundai Steel</t>
        </is>
      </c>
      <c r="B10" t="inlineStr">
        <is>
          <t>US</t>
        </is>
      </c>
      <c r="C10" t="inlineStr">
        <is>
          <t>Louisiana EAF mill (separate)</t>
        </is>
      </c>
      <c r="D10" t="inlineStr">
        <is>
          <t>Scrap-based EAF</t>
        </is>
      </c>
      <c r="E10" t="n">
        <v>5.8</v>
      </c>
      <c r="F10" t="n">
        <v>0</v>
      </c>
      <c r="G10" t="n">
        <v>2.7</v>
      </c>
      <c r="H10" t="n">
        <v>2148</v>
      </c>
      <c r="I10" t="n">
        <v>1</v>
      </c>
      <c r="J10" t="n">
        <v>3.5</v>
      </c>
      <c r="K10" t="inlineStr">
        <is>
          <t>2050</t>
        </is>
      </c>
      <c r="L10" s="5" t="inlineStr">
        <is>
          <t>SEPARATE — not in Korean decarbonization denominator</t>
        </is>
      </c>
      <c r="M10" s="5" t="inlineStr">
        <is>
          <t>PR Apr2025</t>
        </is>
      </c>
    </row>
    <row r="11" ht="80" customHeight="1">
      <c r="A11" t="inlineStr">
        <is>
          <t>Nippon Steel</t>
        </is>
      </c>
      <c r="B11" t="inlineStr">
        <is>
          <t>Japan</t>
        </is>
      </c>
      <c r="C11" t="inlineStr">
        <is>
          <t>Yawata (Kyushu) 2.0Mtpa EAF</t>
        </is>
      </c>
      <c r="D11" t="inlineStr">
        <is>
          <t>Scrap-based EAF</t>
        </is>
      </c>
      <c r="E11" t="n">
        <v>4</v>
      </c>
      <c r="F11" t="n">
        <v>67</v>
      </c>
      <c r="G11" t="n">
        <v>2</v>
      </c>
      <c r="H11" t="n">
        <v>2000</v>
      </c>
      <c r="I11" t="n">
        <v>1</v>
      </c>
      <c r="J11" t="n">
        <v>2.6</v>
      </c>
      <c r="K11" t="inlineStr">
        <is>
          <t>2049</t>
        </is>
      </c>
      <c r="L11" s="5" t="inlineStr">
        <is>
          <t>JPY 630.2B ($3.97B) confirmed (S&amp;P Global Feb 2026; Thermal Processing Mar 2026). Gov subsidy cap JPY 179.9B for Yawata alone. Construction formally commenced Apr 2026 (SteelOrbis/GMK). Start H1 FY2028 (Apr-Sep 2028) — earlier than prior FY2029 estimate.</t>
        </is>
      </c>
      <c r="M11" s="5" t="inlineStr">
        <is>
          <t>S&amp;P Global 2026-02-05; Thermal Processing 2026; SteelOrbis 2026-04; GMK 2026</t>
        </is>
      </c>
    </row>
    <row r="12" ht="16" customHeight="1">
      <c r="A12" t="inlineStr">
        <is>
          <t>Nippon Steel</t>
        </is>
      </c>
      <c r="B12" t="inlineStr">
        <is>
          <t>Japan</t>
        </is>
      </c>
      <c r="C12" t="inlineStr">
        <is>
          <t>Hirohata 0.5Mtpa EAF</t>
        </is>
      </c>
      <c r="D12" t="inlineStr">
        <is>
          <t>Scrap EAF (Tenova 340t)</t>
        </is>
      </c>
      <c r="E12" t="n">
        <v>0.92</v>
      </c>
      <c r="F12" t="n">
        <v>15</v>
      </c>
      <c r="G12" t="n">
        <v>0.5</v>
      </c>
      <c r="H12" t="n">
        <v>1840</v>
      </c>
      <c r="I12" t="n">
        <v>1</v>
      </c>
      <c r="J12" t="n">
        <v>0.6</v>
      </c>
      <c r="K12" t="inlineStr">
        <is>
          <t>2049</t>
        </is>
      </c>
      <c r="L12" s="5" t="inlineStr">
        <is>
          <t>JPY 140B; start H2 FY2029</t>
        </is>
      </c>
      <c r="M12" s="5" t="inlineStr">
        <is>
          <t>Mysteel 2026-02</t>
        </is>
      </c>
    </row>
    <row r="13" ht="16" customHeight="1">
      <c r="A13" t="inlineStr">
        <is>
          <t>Nippon Steel</t>
        </is>
      </c>
      <c r="B13" t="inlineStr">
        <is>
          <t>Japan</t>
        </is>
      </c>
      <c r="C13" t="inlineStr">
        <is>
          <t>Shunan 0.4Mtpa EAF (restart)</t>
        </is>
      </c>
      <c r="D13" t="inlineStr">
        <is>
          <t>Brownfield EAF restart</t>
        </is>
      </c>
      <c r="E13" t="n">
        <v>0.619</v>
      </c>
      <c r="F13" t="n">
        <v>10</v>
      </c>
      <c r="G13" t="n">
        <v>0.4</v>
      </c>
      <c r="H13" t="n">
        <v>1547</v>
      </c>
      <c r="I13" t="n">
        <v>1</v>
      </c>
      <c r="J13" t="n">
        <v>0.5</v>
      </c>
      <c r="K13" t="inlineStr">
        <is>
          <t>2044</t>
        </is>
      </c>
      <c r="L13" s="5" t="inlineStr">
        <is>
          <t>UPDATED 2026-06-03 (W9 Day 3): JPY 98.5B ($619M) brownfield restart, capacity ~0.4Mtpa, commercial start 2H FY2028 (Oct 2028-Mar 2029). Previously CAP carried only 'Modification/restart' qualitative note; Mysteel/Transition Asia 2026-06 now anchors specific budget. With this update NSC EAF subtotal = Yawata JPY 630.2B + Hirohata JPY 140B + Shunan JPY 98.5B = JPY 868.7B (~$5.79B) which reconciles with NSC May-2025 board-decision aggregate JPY 868.7B. Implied unit CAPEX $1,547/Mtpa (Shunan) sits at the low end of the NSC bracket — brownfield restart economics, not greenfield.</t>
        </is>
      </c>
      <c r="M13" s="5" t="inlineStr">
        <is>
          <t>Mysteel 2026-02; Transition Asia June 2025 QuickTake; CAP recalibration 2026-06-03</t>
        </is>
      </c>
    </row>
    <row r="14" ht="16" customHeight="1">
      <c r="A14" t="inlineStr">
        <is>
          <t>Nippon Steel</t>
        </is>
      </c>
      <c r="B14" t="inlineStr">
        <is>
          <t>Japan</t>
        </is>
      </c>
      <c r="C14" t="inlineStr">
        <is>
          <t>Super COURSE50 (R&amp;D)</t>
        </is>
      </c>
      <c r="D14" t="inlineStr">
        <is>
          <t>BF H2 injection</t>
        </is>
      </c>
      <c r="E14" t="n">
        <v>0.3</v>
      </c>
      <c r="F14" t="n">
        <v>5</v>
      </c>
      <c r="I14" t="n">
        <v>65</v>
      </c>
      <c r="J14" t="n">
        <v>0.5</v>
      </c>
      <c r="K14" t="inlineStr">
        <is>
          <t>2040</t>
        </is>
      </c>
      <c r="L14" s="5" t="inlineStr">
        <is>
          <t>Pilot/demo only, TRL 5-6</t>
        </is>
      </c>
      <c r="M14" s="5" t="inlineStr">
        <is>
          <t>Nippon Steel sustainability 2025</t>
        </is>
      </c>
    </row>
    <row r="15" ht="16" customHeight="1">
      <c r="A15" t="inlineStr">
        <is>
          <t>Nippon Steel</t>
        </is>
      </c>
      <c r="B15" t="inlineStr">
        <is>
          <t>Japan</t>
        </is>
      </c>
      <c r="C15" t="inlineStr">
        <is>
          <t>BF relining across 6 BFs</t>
        </is>
      </c>
      <c r="D15" t="inlineStr">
        <is>
          <t>BF-BOF reline (lock-in)</t>
        </is>
      </c>
      <c r="E15" t="n">
        <v>0.2</v>
      </c>
      <c r="F15" t="n">
        <v>3</v>
      </c>
      <c r="I15" t="n">
        <v>-8.5</v>
      </c>
      <c r="J15" t="n">
        <v>0.2</v>
      </c>
      <c r="K15" t="inlineStr">
        <is>
          <t>2045-2050</t>
        </is>
      </c>
      <c r="L15" s="5" t="inlineStr">
        <is>
          <t>Gary Works reline begins 2026 — 20yr coal lock-in</t>
        </is>
      </c>
      <c r="M15" s="5" t="inlineStr">
        <is>
          <t>AIST; SteelWatch CCA 2025</t>
        </is>
      </c>
    </row>
    <row r="16" ht="80" customHeight="1">
      <c r="A16" t="inlineStr">
        <is>
          <t>Nippon Steel (net of subsidy)</t>
        </is>
      </c>
      <c r="B16" t="inlineStr">
        <is>
          <t>Japan</t>
        </is>
      </c>
      <c r="C16" t="inlineStr">
        <is>
          <t>Gov subsidy JPY 251.4B</t>
        </is>
      </c>
      <c r="D16" t="inlineStr">
        <is>
          <t>Subtracted</t>
        </is>
      </c>
      <c r="E16" t="n">
        <v>-1.7</v>
      </c>
      <c r="L16" s="5" t="inlineStr">
        <is>
          <t>JPY 251.4B ($1.7B) total METI Green Innovation Fund across Yawata+Hirohata+Shunan. Yawata alone drawdown cap JPY 179.9B (~$1.2B), meaning Yawata net CAPEX floor ~$2.8B. Remaining ~JPY 71.5B distributed across Hirohata + Shunan. Net group CAPEX ~$4.3B.</t>
        </is>
      </c>
      <c r="M16" s="5" t="inlineStr">
        <is>
          <t>METI Green Innovation Fund</t>
        </is>
      </c>
    </row>
    <row r="17" ht="16" customHeight="1">
      <c r="A17" t="inlineStr">
        <is>
          <t>JFE Steel</t>
        </is>
      </c>
      <c r="B17" t="inlineStr">
        <is>
          <t>Japan</t>
        </is>
      </c>
      <c r="C17" t="inlineStr">
        <is>
          <t>Kurashiki 2Mtpa EAF</t>
        </is>
      </c>
      <c r="D17" t="inlineStr">
        <is>
          <t>Scrap-based EAF</t>
        </is>
      </c>
      <c r="E17" t="n">
        <v>2.2</v>
      </c>
      <c r="F17" t="n">
        <v>100</v>
      </c>
      <c r="G17" t="n">
        <v>2</v>
      </c>
      <c r="H17" t="n">
        <v>1100</v>
      </c>
      <c r="I17" t="n">
        <v>1</v>
      </c>
      <c r="J17" t="n">
        <v>2.4</v>
      </c>
      <c r="K17" t="inlineStr">
        <is>
          <t>2048</t>
        </is>
      </c>
      <c r="L17" s="5" t="inlineStr">
        <is>
          <t>JPY 329.4B total; gov subsidy JPY 104.5B ($700M)</t>
        </is>
      </c>
      <c r="M17" s="5" t="inlineStr">
        <is>
          <t>GMK 2025; Transition Asia</t>
        </is>
      </c>
    </row>
    <row r="18" ht="16" customHeight="1">
      <c r="A18" t="inlineStr">
        <is>
          <t>JFE Steel (net of subsidy)</t>
        </is>
      </c>
      <c r="B18" t="inlineStr">
        <is>
          <t>Japan</t>
        </is>
      </c>
      <c r="C18" t="inlineStr">
        <is>
          <t>Gov subsidy JPY 104.5B</t>
        </is>
      </c>
      <c r="D18" t="inlineStr">
        <is>
          <t>Subtracted</t>
        </is>
      </c>
      <c r="E18" t="n">
        <v>-0.7</v>
      </c>
      <c r="L18" s="5" t="inlineStr">
        <is>
          <t>Net JFE CAPEX ~$1.5B</t>
        </is>
      </c>
      <c r="M18" s="5" t="inlineStr">
        <is>
          <t>GMK 2025</t>
        </is>
      </c>
    </row>
    <row r="19" ht="16" customHeight="1">
      <c r="A19" t="inlineStr">
        <is>
          <t>Kobe Steel</t>
        </is>
      </c>
      <c r="B19" t="inlineStr">
        <is>
          <t>Japan</t>
        </is>
      </c>
      <c r="C19" t="inlineStr">
        <is>
          <t>Oman Midrex HBI JV</t>
        </is>
      </c>
      <c r="D19" t="inlineStr">
        <is>
          <t>NG-DRI (HBI export)</t>
        </is>
      </c>
      <c r="E19" t="n">
        <v>0.9</v>
      </c>
      <c r="F19" t="n">
        <v>86</v>
      </c>
      <c r="G19" t="n">
        <v>2</v>
      </c>
      <c r="H19" t="n">
        <v>450</v>
      </c>
      <c r="I19" t="n">
        <v>27.5</v>
      </c>
      <c r="J19" t="n">
        <v>2</v>
      </c>
      <c r="K19" t="inlineStr">
        <is>
          <t>2050</t>
        </is>
      </c>
      <c r="L19" s="5" t="inlineStr">
        <is>
          <t>HBI for export; does not transform domestic BF portfolio</t>
        </is>
      </c>
      <c r="M19" s="5" t="inlineStr">
        <is>
          <t>Kobe Steel; GEM</t>
        </is>
      </c>
    </row>
    <row r="20" ht="16" customHeight="1">
      <c r="A20" t="inlineStr">
        <is>
          <t>Kobe Steel</t>
        </is>
      </c>
      <c r="B20" t="inlineStr">
        <is>
          <t>Japan</t>
        </is>
      </c>
      <c r="C20" t="inlineStr">
        <is>
          <t>Kakogawa H2-injection pilot</t>
        </is>
      </c>
      <c r="D20" t="inlineStr">
        <is>
          <t>BF H2 injection</t>
        </is>
      </c>
      <c r="E20" t="n">
        <v>0.15</v>
      </c>
      <c r="F20" t="n">
        <v>14</v>
      </c>
      <c r="I20" t="n">
        <v>65</v>
      </c>
      <c r="J20" t="n">
        <v>0.2</v>
      </c>
      <c r="K20" t="inlineStr">
        <is>
          <t>2040</t>
        </is>
      </c>
      <c r="L20" s="5" t="inlineStr">
        <is>
          <t>Extends Kakogawa BF life — Gap 4 overseas-shift concern</t>
        </is>
      </c>
      <c r="M20" s="5" t="inlineStr">
        <is>
          <t>Kobe Steel Report 2025</t>
        </is>
      </c>
    </row>
    <row r="21" ht="80" customHeight="1">
      <c r="A21" t="inlineStr">
        <is>
          <t>LG Chem</t>
        </is>
      </c>
      <c r="B21" t="inlineStr">
        <is>
          <t>Korea</t>
        </is>
      </c>
      <c r="C21" t="inlineStr">
        <is>
          <t>Daesan HVO bio-naphtha JV (ENI)</t>
        </is>
      </c>
      <c r="D21" t="inlineStr">
        <is>
          <t>Bio-naphtha feedstock</t>
        </is>
      </c>
      <c r="E21" t="n">
        <v>0.6</v>
      </c>
      <c r="F21" t="n">
        <v>50</v>
      </c>
      <c r="G21" t="n">
        <v>0.4</v>
      </c>
      <c r="H21" t="n">
        <v>1500</v>
      </c>
      <c r="I21" t="n">
        <v>115</v>
      </c>
      <c r="J21" t="n">
        <v>0.2</v>
      </c>
      <c r="K21" t="inlineStr">
        <is>
          <t>2045</t>
        </is>
      </c>
      <c r="L21" s="5" t="inlineStr">
        <is>
          <t>Revised Apr2026: 400ktpa bio-feedstock throughput (Enilive/LG Chem PR Aug 2025); groundbreaking Aug 2025; completion 2027. LG-Eni BioRefining JV 51/49 split. Produces SAF + HVO + bio-naphtha via Eni Ecofining. Bio-naphtha output integrates with NCC feedstock partial displacement.</t>
        </is>
      </c>
      <c r="M21" s="5" t="inlineStr">
        <is>
          <t>Enilive/LG Chem PR 2025-08; OGJ 2025; Eni AR 2024</t>
        </is>
      </c>
    </row>
    <row r="22" ht="16" customHeight="1">
      <c r="A22" t="inlineStr">
        <is>
          <t>LG Chem</t>
        </is>
      </c>
      <c r="B22" t="inlineStr">
        <is>
          <t>Korea</t>
        </is>
      </c>
      <c r="C22" t="inlineStr">
        <is>
          <t>Yeosu renewable PPA (615GWh/20yr)</t>
        </is>
      </c>
      <c r="D22" t="inlineStr">
        <is>
          <t>RE PPA</t>
        </is>
      </c>
      <c r="E22" t="n">
        <v>0.15</v>
      </c>
      <c r="F22" t="n">
        <v>13</v>
      </c>
      <c r="I22" t="n">
        <v>-5</v>
      </c>
      <c r="J22" t="n">
        <v>0.1</v>
      </c>
      <c r="K22" t="inlineStr">
        <is>
          <t>2046</t>
        </is>
      </c>
      <c r="L22" s="5" t="inlineStr">
        <is>
          <t>20yr wind PPA from 2026</t>
        </is>
      </c>
      <c r="M22" s="5" t="inlineStr">
        <is>
          <t>LG Chem ESG</t>
        </is>
      </c>
    </row>
    <row r="23" ht="32" customHeight="1">
      <c r="A23" t="inlineStr">
        <is>
          <t>LG Chem</t>
        </is>
      </c>
      <c r="B23" t="inlineStr">
        <is>
          <t>Korea</t>
        </is>
      </c>
      <c r="C23" t="inlineStr">
        <is>
          <t>Yeosu NCC JV w/ GS Caltex (consolidation)</t>
        </is>
      </c>
      <c r="D23" t="inlineStr">
        <is>
          <t>Capacity consolidation</t>
        </is>
      </c>
      <c r="E23" t="n">
        <v>0.45</v>
      </c>
      <c r="F23" t="n">
        <v>38</v>
      </c>
      <c r="I23" t="inlineStr">
        <is>
          <t>N/A (structural)</t>
        </is>
      </c>
      <c r="J23" t="n">
        <v>0.8</v>
      </c>
      <c r="K23" t="inlineStr">
        <is>
          <t>2027 integrated ops</t>
        </is>
      </c>
      <c r="L23" s="5" t="inlineStr">
        <is>
          <t>Effectively gov-mandated early retirement → Gap 5 natural experiment</t>
        </is>
      </c>
      <c r="M23" s="5" t="inlineStr">
        <is>
          <t>S&amp;P Global 2026; KDB; Businesskorea 2026</t>
        </is>
      </c>
    </row>
    <row r="24" ht="48" customHeight="1">
      <c r="A24" t="inlineStr">
        <is>
          <t>Lotte Chemical</t>
        </is>
      </c>
      <c r="B24" t="inlineStr">
        <is>
          <t>Korea</t>
        </is>
      </c>
      <c r="C24" t="inlineStr">
        <is>
          <t>Daesan Project No.1 (NCC merger w/ Hyundai Chem)</t>
        </is>
      </c>
      <c r="D24" t="inlineStr">
        <is>
          <t>Capacity consolidation</t>
        </is>
      </c>
      <c r="I24" t="inlineStr">
        <is>
          <t>N/A (structural)</t>
        </is>
      </c>
      <c r="J24" t="n">
        <v>1.5</v>
      </c>
      <c r="K24" t="inlineStr">
        <is>
          <t>2027 integrated ops</t>
        </is>
      </c>
      <c r="L24" s="5" t="inlineStr">
        <is>
          <t>Govt 2.1T KRW package; Daesan ethylene 1.95Mt→0.85Mt (–1.1Mt); 3yr shutdown of 1.1Mt NCC — Gap 5 parallel to steel BF retirement</t>
        </is>
      </c>
      <c r="M24" s="5" t="inlineStr">
        <is>
          <t>Asia Business Daily 2026-02-25; Businesskorea</t>
        </is>
      </c>
    </row>
    <row r="25" ht="32" customHeight="1">
      <c r="A25" t="inlineStr">
        <is>
          <t>Hanwha Solutions</t>
        </is>
      </c>
      <c r="B25" t="inlineStr">
        <is>
          <t>Korea</t>
        </is>
      </c>
      <c r="C25" t="inlineStr">
        <is>
          <t>Yeochun NCC Plant 2 closure (w/ DL)</t>
        </is>
      </c>
      <c r="D25" t="inlineStr">
        <is>
          <t>Capacity closure</t>
        </is>
      </c>
      <c r="I25" t="inlineStr">
        <is>
          <t>N/A (structural)</t>
        </is>
      </c>
      <c r="J25" t="n">
        <v>0.9</v>
      </c>
      <c r="K25" t="inlineStr">
        <is>
          <t>2026-27 shutdown</t>
        </is>
      </c>
      <c r="L25" s="5" t="inlineStr">
        <is>
          <t>Plant 2 follows Plant 3 shutdown; Plant 1 integration into Lotte Yeosu</t>
        </is>
      </c>
      <c r="M25" s="5" t="inlineStr">
        <is>
          <t>Businesskorea 2026</t>
        </is>
      </c>
    </row>
    <row r="26">
      <c r="A26" t="inlineStr">
        <is>
          <t>SK Geocentric</t>
        </is>
      </c>
      <c r="B26" t="inlineStr">
        <is>
          <t>Korea</t>
        </is>
      </c>
      <c r="C26" t="inlineStr">
        <is>
          <t>Ulsan Advanced Recycling Cluster (ARC)</t>
        </is>
      </c>
      <c r="D26" t="inlineStr">
        <is>
          <t>Chemical plastic recycling (3 technologies)</t>
        </is>
      </c>
      <c r="E26" t="n">
        <v>1.4</v>
      </c>
      <c r="F26" t="n">
        <v>100</v>
      </c>
      <c r="G26" t="n">
        <v>0.32</v>
      </c>
      <c r="H26" t="n">
        <v>4375</v>
      </c>
      <c r="I26" t="inlineStr">
        <is>
          <t>N/A (Scope 3 displacement)</t>
        </is>
      </c>
      <c r="J26" t="n">
        <v>0.6</v>
      </c>
      <c r="K26" t="inlineStr">
        <is>
          <t>2046 (20yr)</t>
        </is>
      </c>
      <c r="L26" t="inlineStr">
        <is>
          <t>KRW 1.8T ($1.4B) Ulsan ARC integrates 3 chemical-recycling technologies (depolymerization pilot 50 t/yr 2026 operational); 320kt/yr plastic waste processing from 2026. Gap 1 note: reported as "green CAPEX" but produces downstream polymers rather than NCC feedstock decarbonization — Scope 3 logic applies.</t>
        </is>
      </c>
      <c r="M26" t="inlineStr">
        <is>
          <t>Korea Herald 2022; InvestKorea; KED Global; The Korea Times 2023</t>
        </is>
      </c>
    </row>
    <row r="27">
      <c r="A27" t="inlineStr">
        <is>
          <t>Korean NCC (sector benchmark)</t>
        </is>
      </c>
      <c r="B27" t="inlineStr">
        <is>
          <t>Korea</t>
        </is>
      </c>
      <c r="C27" t="inlineStr">
        <is>
          <t>50% Blue NH3 fuel substitution (research benchmark)</t>
        </is>
      </c>
      <c r="D27" t="inlineStr">
        <is>
          <t>Blue NH3 as NCC fuel</t>
        </is>
      </c>
      <c r="I27" t="n">
        <v>87.98</v>
      </c>
      <c r="K27" t="inlineStr">
        <is>
          <t>N/A (technology benchmark, not a company CAPEX line)</t>
        </is>
      </c>
      <c r="L27" t="inlineStr">
        <is>
          <t>Lee &amp; Choi 2025 ACS Sustainable Chem Eng "Decarbonization Strategies in Naphtha Cracking: Case Study of South Korea" (DOI 10.1021/acssuschemeng.4c09854): Among 50% blue NH3, green NH3, H2, CCUS, methane-to-methanol, THE 50% blue NH3 option is the most cost-effective at CAC $87.98/tCO2e for Korean naphtha cracker. Use as learned-literature benchmark for LG Chem / Lotte / Hanwha petchem row Implied_MACC cross-check; substantially lower than K-ETS structurally can support (K-ETS $9.5 vs needed $88 → Gap 3 petchem case).</t>
        </is>
      </c>
      <c r="M27" t="inlineStr">
        <is>
          <t>Lee &amp; Choi 2025 ACS Sustainable Chem Eng DOI 10.1021/acssuschemeng.4c09854</t>
        </is>
      </c>
    </row>
    <row r="28">
      <c r="A28" t="inlineStr">
        <is>
          <t>POSCO</t>
        </is>
      </c>
      <c r="B28" t="inlineStr">
        <is>
          <t>Korea</t>
        </is>
      </c>
      <c r="C28" t="inlineStr">
        <is>
          <t>HyREX commercial Ph.2/3 (post-2035)</t>
        </is>
      </c>
      <c r="D28" t="inlineStr">
        <is>
          <t>HyREX + EAF + infra</t>
        </is>
      </c>
      <c r="E28" t="n">
        <v>2.6</v>
      </c>
      <c r="F28" t="n">
        <v>20</v>
      </c>
      <c r="G28" t="n">
        <v>2</v>
      </c>
      <c r="H28" t="n">
        <v>1300</v>
      </c>
      <c r="I28" t="n">
        <v>105</v>
      </c>
      <c r="J28" t="n">
        <v>4.5</v>
      </c>
      <c r="K28" t="inlineStr">
        <is>
          <t>2045-2050</t>
        </is>
      </c>
      <c r="L28" t="inlineStr">
        <is>
          <t>Phase 3 residual within the 20조원 program: post-2035 HyREX scale-up beyond Pohang demonstration + ancillary infrastructure (CO2 networks, RE expansion). Attribution residual from total $14.7B minus already-allocated POSCO rows. May 13 2026 placeholder pending POSCO H2 2026 IR disclosure.</t>
        </is>
      </c>
      <c r="M28" t="inlineStr">
        <is>
          <t>POSCO Newsroom 2026-03; Seoul Economic Daily 2026-03-31; CAP residual attribution</t>
        </is>
      </c>
    </row>
    <row r="29">
      <c r="A29" t="inlineStr">
        <is>
          <t>POSCO</t>
        </is>
      </c>
      <c r="B29" t="inlineStr">
        <is>
          <t>US/India offshore</t>
        </is>
      </c>
      <c r="C29" t="inlineStr">
        <is>
          <t>POSCO-JSW Odisha 6Mtpa BF JV (50% attribution)</t>
        </is>
      </c>
      <c r="D29" t="inlineStr">
        <is>
          <t>BF-BOF integrated (offshore lock-in)</t>
        </is>
      </c>
      <c r="E29" t="n">
        <v>2.05</v>
      </c>
      <c r="F29" t="n">
        <v>0</v>
      </c>
      <c r="G29" t="n">
        <v>3</v>
      </c>
      <c r="H29" t="n">
        <v>683</v>
      </c>
      <c r="I29" t="inlineStr">
        <is>
          <t>N/A (BF baseline, Gap 5 lock-in)</t>
        </is>
      </c>
      <c r="J29" t="inlineStr">
        <is>
          <t>N/A</t>
        </is>
      </c>
      <c r="K29" t="inlineStr">
        <is>
          <t>~2061 (20yr post-2031 ops)</t>
        </is>
      </c>
      <c r="L29" t="inlineStr">
        <is>
          <t>Apr 20 2026 groundbreaking — POSCO/JSW 50/50 JV, 6Mt integrated BF-BOF steel mill in Odisha, 48-month construction, ops 2031. POSCO total commitment Rs 17,500 crore (~$2.05B). FLAGGED Gap 5: while POSCO domestically pursues HyREX/EAF, the Odisha JV simultaneously locks in 20yr coal-BF infrastructure (Indian market). CAP Implied_MACC N/A (BF baseline); critical for cross-jurisdictional CAPEX-reallocation typology (Ng et al. ECGI 877/2023; Daumas 2024).</t>
        </is>
      </c>
      <c r="M29" t="inlineStr">
        <is>
          <t>Seoul Economic Daily 2026-04-20; KED Global 2025-08; AIST; Construction Mirror 2025; Odisha TV 2025; POSCO Newsroom 2026</t>
        </is>
      </c>
    </row>
    <row r="30">
      <c r="A30" t="inlineStr">
        <is>
          <t>POSCO</t>
        </is>
      </c>
      <c r="B30" t="inlineStr">
        <is>
          <t>US</t>
        </is>
      </c>
      <c r="C30" t="inlineStr">
        <is>
          <t>POSCO 20% attribution of HPLS Louisiana 2.7Mtpa EAF (Hyundai-POSCO Louisiana Steel)</t>
        </is>
      </c>
      <c r="D30" t="inlineStr">
        <is>
          <t>Scrap-EAF (H2-DRI option)</t>
        </is>
      </c>
      <c r="E30" t="n">
        <v>1.16</v>
      </c>
      <c r="F30" t="n">
        <v>0</v>
      </c>
      <c r="G30" t="n">
        <v>0.54</v>
      </c>
      <c r="H30" t="n">
        <v>2148</v>
      </c>
      <c r="I30" t="n">
        <v>1</v>
      </c>
      <c r="J30" t="n">
        <v>0.7</v>
      </c>
      <c r="K30" t="inlineStr">
        <is>
          <t>~2050</t>
        </is>
      </c>
      <c r="L30" t="inlineStr">
        <is>
          <t>POSCO 20% attribution-line of HPLS Louisiana mill ($5.8B × 20% = $1.16B; Hyundai retains $4.64B). Danieli "hydrogen-ready" design formalized 2026-05-05 (FuelCellsWorks/Danieli refresh); permits in LDEQ review (Sierra Club challenge filed 2026-05-04). LT industrial-gas supply contract (Air Liquide $350M+ ASU, St James Parish, Apr 22 2026) confirms project architecture. CAP Gap 5 cross-jurisdictional attribution row.</t>
        </is>
      </c>
      <c r="M30" t="inlineStr">
        <is>
          <t>Air Liquide PR 2026-04-22; FuelCellsWorks 2026-05-05; Sierra Club PR 2026-05-04; Manufacturing Dive 2026; Recycling Today 2025-12</t>
        </is>
      </c>
    </row>
    <row r="31">
      <c r="A31" t="inlineStr">
        <is>
          <t>Nippon Steel</t>
        </is>
      </c>
      <c r="B31" t="inlineStr">
        <is>
          <t>Japan</t>
        </is>
      </c>
      <c r="C31" t="inlineStr">
        <is>
          <t>Kimitsu BF No.2 H2 demo (operational scale)</t>
        </is>
      </c>
      <c r="D31" t="inlineStr">
        <is>
          <t>BF H2 injection (Super COURSE50 follow-on)</t>
        </is>
      </c>
      <c r="E31" t="n">
        <v>0.4</v>
      </c>
      <c r="I31" t="n">
        <v>70</v>
      </c>
      <c r="J31" t="n">
        <v>0.3</v>
      </c>
      <c r="K31" t="inlineStr">
        <is>
          <t>2040</t>
        </is>
      </c>
      <c r="L31" t="inlineStr">
        <is>
          <t>NSC 2030 Plan (Dec 12 2025; #145): Kimitsu Area No.2 BF demo (~400× test furnace scale) targeted to commence FY2026. Plan re-anchors COURSE50/Super COURSE50 from R&amp;D bench to operational-scale BF H2 injection on the largest BF in the Kimitsu fleet. Adds ~$0.4B estimated (between R&amp;D bench and a full BF retrofit). Critical Gap 5 datapoint: H2 injection extends BF asset life rather than substituting EAF.</t>
        </is>
      </c>
      <c r="M31" t="inlineStr">
        <is>
          <t>NSC 2030 Medium-/Long-term Mgmt Plan 2025-12-12 (#145); SteelOrbis 2025-12; Nippon Steel sustainability 2025</t>
        </is>
      </c>
    </row>
    <row r="32">
      <c r="A32" t="inlineStr">
        <is>
          <t>Nippon Steel</t>
        </is>
      </c>
      <c r="B32" t="inlineStr">
        <is>
          <t>Japan</t>
        </is>
      </c>
      <c r="C32" t="inlineStr">
        <is>
          <t>Hasaki DRI test plant (2026)</t>
        </is>
      </c>
      <c r="D32" t="inlineStr">
        <is>
          <t>Hydrogen-reduced DRI test</t>
        </is>
      </c>
      <c r="E32" t="n">
        <v>0.15</v>
      </c>
      <c r="I32" t="n">
        <v>100</v>
      </c>
      <c r="J32" t="n">
        <v>0.05</v>
      </c>
      <c r="K32" t="inlineStr">
        <is>
          <t>2035</t>
        </is>
      </c>
      <c r="L32" t="inlineStr">
        <is>
          <t>NSC 2030 Plan (#145): Hasaki area DRI test plant commissioning 2026 — bridges Kimitsu BF H2 injection (live BF) and future commercial H2-DRI line. Plan does not disclose CAPEX line; CAP placeholder $0.15B based on Japan H2-DRI pilot precedents (Nippon Steel #145 + JISF roadmap). FLAGGED for 2026 IR re-anchoring.</t>
        </is>
      </c>
      <c r="M32" t="inlineStr">
        <is>
          <t>NSC 2030 Medium-/Long-term Mgmt Plan 2025-12-12 (#145)</t>
        </is>
      </c>
    </row>
    <row r="33">
      <c r="A33" t="inlineStr">
        <is>
          <t>Nippon Steel</t>
        </is>
      </c>
      <c r="B33" t="inlineStr">
        <is>
          <t>US (USS)</t>
        </is>
      </c>
      <c r="C33" t="inlineStr">
        <is>
          <t>$11B USS investment commitment 2025-2028</t>
        </is>
      </c>
      <c r="D33" t="inlineStr">
        <is>
          <t>BF-BOF asset base extension + selective EAF additions</t>
        </is>
      </c>
      <c r="E33" t="n">
        <v>11</v>
      </c>
      <c r="F33" t="n">
        <v>0</v>
      </c>
      <c r="G33" t="n">
        <v>16</v>
      </c>
      <c r="H33" t="n">
        <v>688</v>
      </c>
      <c r="I33" t="inlineStr">
        <is>
          <t>N/A (Gap 5 lock-in offshore)</t>
        </is>
      </c>
      <c r="J33" t="inlineStr">
        <is>
          <t>N/A</t>
        </is>
      </c>
      <c r="K33" t="inlineStr">
        <is>
          <t>~2050</t>
        </is>
      </c>
      <c r="L33" t="inlineStr">
        <is>
          <t>NSC 2030 Plan (#145): pledged $11B capital investment in US Steel by end of 2028 as part of CFIUS commitment; framed as "carbon-neutral CAPEX synergy" in IR materials, but USS asset base is dominantly BF-BOF (Gary Works BF14 reline 2026 begins → 20-yr coal lock-in; SteelWatch CCA Update May 2025 anchor). CAP Gap 1 + Gap 5 datapoint — the largest single CAPEX line in the NSC 2030 plan extends, rather than substitutes, integrated BF-BOF capacity. Headline-CAPEX overstatement candidate for Green CAPEX Discount Factor (GCDF) methodology (CAP working paper Section 4 draft).</t>
        </is>
      </c>
      <c r="M33" t="inlineStr">
        <is>
          <t>NSC 2030 Medium-/Long-term Mgmt Plan 2025-12-12 (#145); MarketScreener 2025-12; Mysteel 2025-12; SteelWatch CCA 2025 May (#153)</t>
        </is>
      </c>
    </row>
    <row r="34">
      <c r="A34" t="inlineStr">
        <is>
          <t>Nippon Steel (group total reconciliation)</t>
        </is>
      </c>
      <c r="B34" t="inlineStr">
        <is>
          <t>Japan + Overseas</t>
        </is>
      </c>
      <c r="C34" t="inlineStr">
        <is>
          <t>NSC 2030 plan 5-yr total: ¥6T ($40B)</t>
        </is>
      </c>
      <c r="D34" t="inlineStr">
        <is>
          <t>CAPEX envelope (¥2T Japan + ¥4T overseas)</t>
        </is>
      </c>
      <c r="E34" t="n">
        <v>40</v>
      </c>
      <c r="I34" t="inlineStr">
        <is>
          <t>N/A (envelope)</t>
        </is>
      </c>
      <c r="J34" t="inlineStr">
        <is>
          <t>N/A</t>
        </is>
      </c>
      <c r="K34" t="inlineStr">
        <is>
          <t>2030 plan horizon</t>
        </is>
      </c>
      <c r="L34" t="inlineStr">
        <is>
          <t>NSC 2030 Plan (#145): 5-yr total capital + business investment ¥6T (~$40B at ¥150/USD), split ¥2T Japan (~$13.3B) + ¥4T overseas (~$26.7B). Domestic decarbonization CAPEX (~$6.0B Yawata+Hirohata+Shunan + ~$0.55B Kimitsu+Hasaki + ~$0.2B BF reline group + ~$0.3B COURSE50 R&amp;D = $7.05B) = ~53% of ¥2T Japan envelope. Overseas $26.7B ≈ $11B USS pledge + remainder India/SE-Asia growth (NOT decarbonization). CAP Gap 1: framework scoring credits group "carbon-neutral CAPEX" claims against full envelope; ratio of true abatement CAPEX to headline envelope ≈ 18% (=$7.05B / $40B). HEADLINE GCDF CANDIDATE.</t>
        </is>
      </c>
      <c r="M34" t="inlineStr">
        <is>
          <t>NSC 2030 Medium-/Long-term Mgmt Plan 2025-12-12 (#145); MarketScreener 2025-12; Mysteel 2025-12</t>
        </is>
      </c>
    </row>
    <row r="35">
      <c r="A35" t="inlineStr">
        <is>
          <t>Asahi Kasei</t>
        </is>
      </c>
      <c r="B35" t="inlineStr">
        <is>
          <t>Japan</t>
        </is>
      </c>
      <c r="C35" t="inlineStr">
        <is>
          <t>AMEC Mizushima cracker discontinuation (FY2030)</t>
        </is>
      </c>
      <c r="D35" t="inlineStr">
        <is>
          <t>Cracker shutdown / life compression</t>
        </is>
      </c>
      <c r="G35" t="n">
        <v>-0.55</v>
      </c>
      <c r="I35" t="inlineStr">
        <is>
          <t>N/A (structural early-retirement)</t>
        </is>
      </c>
      <c r="J35" t="n">
        <v>0.5</v>
      </c>
      <c r="K35" t="inlineStr">
        <is>
          <t>2030 (shutdown)</t>
        </is>
      </c>
      <c r="L35" t="inlineStr">
        <is>
          <t>Asahi Kasei announcement 2026-05-12 (#146): AMEC Mizushima ethylene cracker discontinuation FY2030 + SM/LDPE/HDPE/200ktpa ACN/PC-diol all discontinued. Cracker shut transfers ethylene supply to Mitsui Osaka Petrochemical Industries (455ktpa Takaishi); combined ethylene capacity drops 951→455ktpa (-52%). Asahi Kasei equity in new ethylene JV is 10% (Mitsui 45 / Mitsubishi 45 / Asahi 10) — finalized 2026-05-12. STRUCTURAL DECARBONIZATION via early-retirement, not new-CAPEX. Pair with Daesan/Yeosu KR petchem consolidation as "life-compression" Gap 5 PETCHEM evidence cluster.</t>
        </is>
      </c>
      <c r="M35" t="inlineStr">
        <is>
          <t>Asahi Kasei PR 2026-05-12; Mitsui Chemicals PR 2026-05-12; ICIS 2026-05-12; C&amp;EN 2026-05; Chemical Processing 2026-05; ChemAnalyst 2026-02</t>
        </is>
      </c>
    </row>
    <row r="36">
      <c r="A36" t="inlineStr">
        <is>
          <t>Asahi Kasei + Mitsui + Mitsubishi (JV)</t>
        </is>
      </c>
      <c r="B36" t="inlineStr">
        <is>
          <t>Japan</t>
        </is>
      </c>
      <c r="C36" t="inlineStr">
        <is>
          <t>Western Japan ethylene JV (45/45/10) consolidation</t>
        </is>
      </c>
      <c r="D36" t="inlineStr">
        <is>
          <t>Cracker capacity consolidation + Hard-to-Abate gov support</t>
        </is>
      </c>
      <c r="G36" t="n">
        <v>0.455</v>
      </c>
      <c r="I36" t="inlineStr">
        <is>
          <t>N/A (consolidation; CAPEX phase pending)</t>
        </is>
      </c>
      <c r="J36" t="n">
        <v>0.5</v>
      </c>
      <c r="K36" t="inlineStr">
        <is>
          <t>2030+ JV ops</t>
        </is>
      </c>
      <c r="L36" t="inlineStr">
        <is>
          <t>Joint operating entity equity finalized 2026-05-12 — Mitsui 45% / Mitsubishi 45% / Asahi Kasei 10%. Consolidates at Osaka Petrochemical Industries (Mitsui subsidiary) 455ktpa Takaishi. METI Hard-to-Abate Support Program funding to install next-gen low-carbon tech at remaining Mizushima Works (ethylene/propylene low-CI). Gap 4 (sector benchmark) implication: framework scoring tends to credit each participant; CAP attribution should weight by equity share — Asahi only 10%. Gap 5 implication: matches Korean Daesan/Yeosu pattern (govt-coordinated consolidation = decarbonization-by-capacity-cut).</t>
        </is>
      </c>
      <c r="M36" t="inlineStr">
        <is>
          <t>Mitsui Chemicals PR 2026-05-12; Asahi Kasei PR 2026-05-12; chemxplore.com 2026-05; CHEManager 2026; Mitsui Chemicals PR 2026-01-27</t>
        </is>
      </c>
    </row>
    <row r="37">
      <c r="A37" t="inlineStr">
        <is>
          <t>Hanwha Solutions</t>
        </is>
      </c>
      <c r="B37" t="inlineStr">
        <is>
          <t>Korea</t>
        </is>
      </c>
      <c r="C37" t="inlineStr">
        <is>
          <t>Rights offering 1.8144T KRW use-of-proceeds (50/50 split flag)</t>
        </is>
      </c>
      <c r="D37" t="inlineStr">
        <is>
          <t>Solar PV (tandem cells / perovskite / TOPCon) — NOT petchem</t>
        </is>
      </c>
      <c r="E37" t="n">
        <v>0.68</v>
      </c>
      <c r="I37" t="inlineStr">
        <is>
          <t>N/A (solar CAPEX, not petchem MACC)</t>
        </is>
      </c>
      <c r="J37" t="inlineStr">
        <is>
          <t>N/A</t>
        </is>
      </c>
      <c r="K37" t="inlineStr">
        <is>
          <t>2029 (mass production target)</t>
        </is>
      </c>
      <c r="L37" t="inlineStr">
        <is>
          <t>CRITICAL CORRECTION 2026-05-20: Hanwha Solutions third amended prospectus (DART 2026-05-14, #147) discloses KRW 907.7B (~$680M) facility CAPEX from KRW 1.8144T rights offering — earmarked entirely for SOLAR PV (perovskite tandem cell pilot + GW-scale mass production by 2029 + existing TOPCon expansion). The matching KRW 906.7B (~$680M) is DEBT REPAYMENT. Headline rights-offering size is therefore NOT a petrochemical decarbonization CAPEX line — important Gap 1 GCDF (Green CAPEX Discount Factor) flag. CAP Company_Tech_Mapping Hanwha row should explicitly carve out solar CAPEX. Hanwha PETCHEM decarbonization remains structural (Yeochun NCC consolidation w/ DL/Lotte; Plant 2 closure 2026-27).</t>
        </is>
      </c>
      <c r="M37" t="inlineStr">
        <is>
          <t>Seoul Economic Daily 2026-05-14 (#147); Seoul Economic Daily 2026-05-15; BigGo Finance 2026-04; THE ELEC 2026-04; DART (Hanwha Solutions 3rd amended prospectus 2026-05-14)</t>
        </is>
      </c>
    </row>
    <row r="38">
      <c r="A38" t="inlineStr">
        <is>
          <t>Kobe Steel</t>
        </is>
      </c>
      <c r="B38" t="inlineStr">
        <is>
          <t>Japan</t>
        </is>
      </c>
      <c r="C38" t="inlineStr">
        <is>
          <t>Kakogawa scrap-melting furnace (FY2027 FID)</t>
        </is>
      </c>
      <c r="D38" t="inlineStr">
        <is>
          <t>Scrap-melter + BF hybrid (mixed in converter)</t>
        </is>
      </c>
      <c r="E38" t="n">
        <v>0.67</v>
      </c>
      <c r="G38" t="n">
        <v>0.7</v>
      </c>
      <c r="H38" t="n">
        <v>957</v>
      </c>
      <c r="I38" t="n">
        <v>25</v>
      </c>
      <c r="J38" t="n">
        <v>0.5</v>
      </c>
      <c r="K38" t="inlineStr">
        <is>
          <t>2035 (commercial start early 2030s)</t>
        </is>
      </c>
      <c r="L38" t="inlineStr">
        <is>
          <t>NEW 2026-05-27 (Day 3 MACC refinement, Ref #167 Kobe budget update): Kobe Steel May 2026 announcement of Kakogawa Works scrap melter, 700ktpa, ~JPY 100B (~$670M); FID in next mid-term plan (FY2027), ops early 2030s. CRITICAL: process mixes BF hot metal with scrap-melter molten steel inside the converter — Kakogawa BF NOT retired, only partial decarb (~30-40%). Gap 5 lock-in PRESERVED. Implied MACC ~$25/tCO2 blended (between scrap EAF $0.3 and NG-DRI $40), but the real CAP critique: this entry illustrates how 'decarb CAPEX' framing obscures the fact that the underlying BF asset continues operating to 2040+. Aggregate Kobe decarb commitment: $1.05B (May-25 revised) + $0.67B (Kakogawa) = $1.72B.</t>
        </is>
      </c>
      <c r="M38" t="inlineStr">
        <is>
          <t>SteelOrbis 2026-05; Kallanish 2026-05; Indexbox 2026-05; Kobe Steel investor materials</t>
        </is>
      </c>
    </row>
    <row r="39">
      <c r="A39" t="inlineStr">
        <is>
          <t>JFE Steel</t>
        </is>
      </c>
      <c r="B39" t="inlineStr">
        <is>
          <t>UAE/offshore</t>
        </is>
      </c>
      <c r="C39" t="inlineStr">
        <is>
          <t>JFE-Itochu-Emirates Steel-AD Ports DRI JV (Abu Dhabi)</t>
        </is>
      </c>
      <c r="D39" t="inlineStr">
        <is>
          <t>NG-DRI (H2-ready option) — offshore feedstock</t>
        </is>
      </c>
      <c r="G39" t="n">
        <v>2.5</v>
      </c>
      <c r="I39" t="n">
        <v>27.5</v>
      </c>
      <c r="J39" t="n">
        <v>1.5</v>
      </c>
      <c r="K39" t="inlineStr">
        <is>
          <t>2047 (post-2027 start + 20yr DRI campaign)</t>
        </is>
      </c>
      <c r="L39" t="inlineStr">
        <is>
          <t>NEW 2026-05-27 (Day 3): JFE-Itochu-Emirates Steel-AD Ports MoU for 2.5Mtpa DRI in Abu Dhabi; supplies ~50% of Kurashiki EAF ferrous feed post-2027. Initially NG-DRI, H2-ready (later). Project delayed from 2H 2025 to post-2027. CAPEX share for JFE not yet publicly disclosed — placeholder row. Methodological flag (Gap 4 overseas-shift): JFE + Kobe (Oman HBI) + NSC (USS) all deploying offshore reduced-iron procurement to defer domestic BF retirement. Pattern is structurally Gap-5-adjacent: domestic asset life NOT compressed, even when 'green' headline CAPEX is announced abroad.</t>
        </is>
      </c>
      <c r="M39" t="inlineStr">
        <is>
          <t>Argus 2024; GMK Center 2024; JFE Steel PR 2023-07-18; Zawya 2025</t>
        </is>
      </c>
    </row>
    <row r="40">
      <c r="A40" t="inlineStr">
        <is>
          <t>POSCO</t>
        </is>
      </c>
      <c r="B40" t="inlineStr">
        <is>
          <t>Korea</t>
        </is>
      </c>
      <c r="C40" t="inlineStr">
        <is>
          <t>H2 procurement infrastructure ($6.5B by 2030 envelope)</t>
        </is>
      </c>
      <c r="D40" t="inlineStr">
        <is>
          <t>H2 production + transport + storage (grey/blue/green mix)</t>
        </is>
      </c>
      <c r="E40" t="n">
        <v>6.5</v>
      </c>
      <c r="I40" t="inlineStr">
        <is>
          <t>Grey $3.40/kg → green $4.56/kg (delivered to KR)</t>
        </is>
      </c>
      <c r="K40" t="inlineStr">
        <is>
          <t>2030 commitment envelope (procurement infra)</t>
        </is>
      </c>
      <c r="L40" t="inlineStr">
        <is>
          <t>NEW 2026-05-27 (Day 3, Ref #164 FOC June 2025 H2 sourcing report): POSCO Group $6.5B by 2030 for hydrogen production/transport/storage — SEPARATE from HyREX-core reactor + EAF CAPEX (already broken out rows 2-3). Korea 2030 H2 mix (gov plan): 940kt grey + 750kt blue + 250kt domestic green + 1.96Mt imported green. POSCO 1Mtpa commercial HyREX (2030 target) needs ~58kt H2/yr — domestic green supply insufficient until ~2035+. Pricing per Ko/Chang 2024: imported blue NH3 $3.40/kgH2, domestic blue $4.33/kgH2, imported green NH3 $4.56/kgH2. LCOA HyREX implied cost SENSITIVITY: at grey-H2 dominant (2027-2032) LCOA ~$160/tCO2 with full Scope-1+2 burden; at imported-blue-NH3 mix (2032-2038) ~$115/tCO2; at green-mix (2038+) ~$85/tCO2. CAP methodological hook: H2 SOURCING PATHWAY is endogenous to LCOA and changes the 2030 alignment score by 30-60%.</t>
        </is>
      </c>
      <c r="M40" t="inlineStr">
        <is>
          <t>For Our Climate 2025-06 H2 Steelmaking; Ko/Chang 2024 ScienceDirect; POSCO H2 strategy 2022-2024 disclosures</t>
        </is>
      </c>
    </row>
    <row r="41">
      <c r="A41" t="inlineStr">
        <is>
          <t>POSCO</t>
        </is>
      </c>
      <c r="B41" t="inlineStr">
        <is>
          <t>Korea</t>
        </is>
      </c>
      <c r="C41" t="inlineStr">
        <is>
          <t>HyREX LCOA — grey-H2 dominant (2027-2032)</t>
        </is>
      </c>
      <c r="D41" t="inlineStr">
        <is>
          <t>HyREX with NG-reformed H2 (initial phase)</t>
        </is>
      </c>
      <c r="I41" t="n">
        <v>160</v>
      </c>
      <c r="K41" t="inlineStr">
        <is>
          <t>2027-2032 phase</t>
        </is>
      </c>
      <c r="L41" t="inlineStr">
        <is>
          <t>LCOA sensitivity scenario A: grey-H2-dominant. Effective CO2 reduction vs BF-BOF ~25-35% (most of upstream NG SMR emissions retained). Implied LCOA ~$160/tCO2 with full Scope-1+2 burden including SMR emissions. This is the OPERATIVE scenario for POSCO HyREX commissioning years — undermines the 'hydrogen steel' framing TPI/SBTi scoring relies on.</t>
        </is>
      </c>
      <c r="M41" t="inlineStr">
        <is>
          <t>CAP analysis 2026-05-27, derived from Ko/Chang 2024 + For Our Climate 2025-06</t>
        </is>
      </c>
    </row>
    <row r="42">
      <c r="A42" t="inlineStr">
        <is>
          <t>POSCO</t>
        </is>
      </c>
      <c r="B42" t="inlineStr">
        <is>
          <t>Korea</t>
        </is>
      </c>
      <c r="C42" t="inlineStr">
        <is>
          <t>HyREX LCOA — imported blue NH3 mix (2032-2038)</t>
        </is>
      </c>
      <c r="D42" t="inlineStr">
        <is>
          <t>HyREX with blue ammonia import (mid-phase)</t>
        </is>
      </c>
      <c r="I42" t="n">
        <v>115</v>
      </c>
      <c r="K42" t="inlineStr">
        <is>
          <t>2032-2038 phase</t>
        </is>
      </c>
      <c r="L42" t="inlineStr">
        <is>
          <t>LCOA sensitivity scenario B: imported blue NH3 mix. Effective CO2 reduction ~55-70%; implied LCOA ~$115/tCO2. Aligns with Steel_MACC blue-H2-DRI band ($80-110). Pricing anchor: $3.40/kgH2 from blue NH3 import + transport/cracking losses.</t>
        </is>
      </c>
      <c r="M42" t="inlineStr">
        <is>
          <t>CAP analysis 2026-05-27</t>
        </is>
      </c>
    </row>
    <row r="43">
      <c r="A43" t="inlineStr">
        <is>
          <t>POSCO</t>
        </is>
      </c>
      <c r="B43" t="inlineStr">
        <is>
          <t>Korea</t>
        </is>
      </c>
      <c r="C43" t="inlineStr">
        <is>
          <t>HyREX LCOA — green-H2 shift (2038+)</t>
        </is>
      </c>
      <c r="D43" t="inlineStr">
        <is>
          <t>HyREX with green H2 (target end-state)</t>
        </is>
      </c>
      <c r="I43" t="n">
        <v>85</v>
      </c>
      <c r="K43" t="inlineStr">
        <is>
          <t>2038+ target end-state</t>
        </is>
      </c>
      <c r="L43" t="inlineStr">
        <is>
          <t>LCOA sensitivity scenario C: green-H2 shift. Effective CO2 reduction ~90%; implied LCOA ~$85/tCO2. Anchored to Steel_MACC HyREX 2050 column ($65/tCO2) plus near-term green H2 premium ($4.56/kgH2 imported NH3 vs $1.63-1.70/kg DOE breakeven). CAP point: most of TPI's 'aligned' scoring assumes scenario C from day-one — annual snapshots cannot distinguish A/B/C trajectories.</t>
        </is>
      </c>
      <c r="M43" t="inlineStr">
        <is>
          <t>CAP analysis 2026-05-27; DOE Liftoff Report H2; Steel_MACC row 10</t>
        </is>
      </c>
    </row>
    <row r="44">
      <c r="A44" t="inlineStr">
        <is>
          <t>Setouchi Ethylene LLP (Mitsui+Mitsubishi+Asahi)</t>
        </is>
      </c>
      <c r="B44" t="inlineStr">
        <is>
          <t>Japan</t>
        </is>
      </c>
      <c r="C44" t="inlineStr">
        <is>
          <t>Western Japan ethylene consolidation (Mizushima exit → Takaishi)</t>
        </is>
      </c>
      <c r="D44" t="inlineStr">
        <is>
          <t>Capacity consolidation + METI HtA subsidy (CAPEX TBD)</t>
        </is>
      </c>
      <c r="E44" t="n">
        <v>0.14</v>
      </c>
      <c r="G44" t="n">
        <v>0.455</v>
      </c>
      <c r="I44" t="inlineStr">
        <is>
          <t>N/A (consolidation; CAPEX phase pending)</t>
        </is>
      </c>
      <c r="J44" t="n">
        <v>0.55</v>
      </c>
      <c r="K44" t="inlineStr">
        <is>
          <t>2030 (consolidation complete), 2034 (decarb-chemicals commercial)</t>
        </is>
      </c>
      <c r="L44" t="inlineStr">
        <is>
          <t>UPDATED 2026-06-03 (W9 Day 3): Setouchi Ethylene LLP CAPEX FIRST-DISCLOSED at JPY 21.2B (~€116M, ~$140M) including up to JPY 10.4B (~$70M) METI HtA subsidy — NET CORPORATE CAPEX ≈ JPY 10.8B (~$70M). This is much smaller than analysts had pre-assumed because Phase-1 funds only decarbonized-chemicals tech installation at Mizushima (Asahi Kasei site) using Revolefin bioethanol→olefins; cracker consolidation at Takaishi (Osaka Pet Industries) is mainly capacity rationalization (no major new build). Equity 45/45/10 means net CAPEX-after-subsidy by partner: Mitsui ~$31M, Mitsubishi ~$31M, Asahi ~$7M. Decarbonized-chemicals commercial production FY2034. Mizushima cracker shutdown FY2030. CAP methodological flag (Gap 1 + Gap 4): a TPI-style framework would credit Asahi for the FULL JV commitment (JPY 21.2B) despite 10% equity — CAP attribution must scale by equity. The very low net Japanese-petchem decarb CAPEX is itself a Gap 1 datapoint: structural consolidation + bio-feedstock is being delivered with ~2 orders of magnitude less corporate CAPEX than steel-side EAF transitions.</t>
        </is>
      </c>
      <c r="M44" t="inlineStr">
        <is>
          <t>Asahi Kasei PR 2026-05-12; Mitsui Chemicals PR 2026-05-12; chemxplore.com 2026-05; StockTitan 2026-05; AlchemPro 2026-05; Yahoo Finance 2026-01-27; CAP reconciliation 2026-06-03</t>
        </is>
      </c>
    </row>
    <row r="45">
      <c r="A45" t="inlineStr">
        <is>
          <t>JFE Steel (net of subsidy)</t>
        </is>
      </c>
      <c r="B45" t="inlineStr">
        <is>
          <t>Japan</t>
        </is>
      </c>
      <c r="C45" t="inlineStr">
        <is>
          <t>Kurashiki EAF gross CAPEX vs GX subsidy</t>
        </is>
      </c>
      <c r="D45" t="inlineStr">
        <is>
          <t>Subsidy deduction (GX Promotion Act)</t>
        </is>
      </c>
      <c r="E45" t="n">
        <v>-0.6899999999999999</v>
      </c>
      <c r="I45" t="inlineStr">
        <is>
          <t>N/A (subsidy)</t>
        </is>
      </c>
      <c r="K45" t="inlineStr">
        <is>
          <t>2028 (start)</t>
        </is>
      </c>
      <c r="L45" t="inlineStr">
        <is>
          <t>NEW 2026-06-03 (W9 Day 3): GX Green Transformation Promotion Act subsidy for JFE Kurashiki 2Mtpa EAF confirmed at up to JPY 104.5B (~$690M) per GMK Center / hydrocarbonengineering 2026 coverage. NET JFE corporate CAPEX = JPY 329.4B - JPY 104.5B = JPY 224.9B (~$1.5B). CAP Implied_MACC recalculation: NET CAPEX $1.5B / 1.5MtCO2/yr abatement / 20yr life ≈ $50/tCO2 (vs prior $154/tCO2 gross-of-subsidy). This 3× reduction is a CRITICAL Gap 1 illustration: TPI/SBTi scoring does NOT distinguish gross-CAPEX-committed from net-CAPEX-after-subsidy, yet the latter is the cost-efficiency metric for investors. Add to LCOA methodology framework.</t>
        </is>
      </c>
      <c r="M45" t="inlineStr">
        <is>
          <t>GMK Center 2026; Hydrocarbon Engineering 2026; Seneca ESG 2026; CAP methodology note 2026-06-03</t>
        </is>
      </c>
    </row>
    <row r="46">
      <c r="A46" t="inlineStr">
        <is>
          <t>POSCO</t>
        </is>
      </c>
      <c r="B46" t="inlineStr">
        <is>
          <t>Korea</t>
        </is>
      </c>
      <c r="C46" t="inlineStr">
        <is>
          <t>HyREX 24 t/day pilot (operating since June 2024)</t>
        </is>
      </c>
      <c r="D46" t="inlineStr">
        <is>
          <t>HyREX (H2 Fluidized bed DRI)</t>
        </is>
      </c>
      <c r="G46" t="n">
        <v>0.008800000000000001</v>
      </c>
      <c r="I46" t="inlineStr">
        <is>
          <t>N/A (R&amp;D pilot)</t>
        </is>
      </c>
      <c r="K46" t="inlineStr">
        <is>
          <t>June 2024 onwards</t>
        </is>
      </c>
      <c r="L46" t="inlineStr">
        <is>
          <t>NEW 2026-06-03 (W9 Day 3): POSCO HyREX pilot unit at Pohang 1t/h-scale (24 t/day molten iron) operating since June 2024 per POSCO Newsroom + indexbox.io. CO2 INTENSITY: ~400 kg CO2/t crude steel (vs ~1,800 kgCO2/t for conventional BF-BOF) — implied -78% intensity reduction. CAUTION: pilot scale, NG-reformed H2, favorable feedstock — first-of-kind commercial 300ktpa Pohang demonstration plant (CY2028 commissioning) is the actual de-risking benchmark. CAP USE: empirical pilot performance anchors near-term CO2 intensity ceiling for HyREX commercialization; even at 78% intensity reduction (not 95%) the LCOA improvement remains modest at grey-H2 prices. Tag for Gap 2 (MACC integration) and Gap 3 (carbon pricing) intersection — at K-ETS KAU25 ~$11.5/tCO2, the 1.4 tCO2/t-steel avoidance is worth ~$16/t-steel revenue, well below the LCOA premium.</t>
        </is>
      </c>
      <c r="M46" t="inlineStr">
        <is>
          <t>POSCO Newsroom 2024-06; IndexBox 2026; POSCO Group 2024 disclosures; CAP analysis 2026-06-03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34" customWidth="1" min="1" max="1"/>
    <col width="17" customWidth="1" min="2" max="2"/>
    <col width="21" customWidth="1" min="3" max="3"/>
    <col width="30" customWidth="1" min="4" max="4"/>
    <col width="30" customWidth="1" min="5" max="5"/>
    <col width="13" customWidth="1" min="6" max="6"/>
    <col width="22" customWidth="1" min="7" max="7"/>
    <col width="26" customWidth="1" min="8" max="8"/>
  </cols>
  <sheetData>
    <row r="1">
      <c r="A1" s="21" t="inlineStr">
        <is>
          <t>SPARK Cost-Engine — Phase-1 (Steel H2-DRI switching option, 5 KR/JP firms, 2-factor LSM)</t>
        </is>
      </c>
    </row>
    <row r="2">
      <c r="A2" s="22" t="inlineStr">
        <is>
          <t>Built 2026-06-17 (Week 11 Day 3, Cost &amp; facility data). Frame = CAP redefinition (asset-level real options). Maps SPARK → option model: incremental CAPEX = strike; ΔOPEX(p_H2,p_elec) = stochastic payoff. Estimates marked ~ ; see Confidence col. Korean notes in daily log.</t>
        </is>
      </c>
    </row>
    <row r="4">
      <c r="A4" s="23" t="inlineStr">
        <is>
          <t>BLOCK A — INCREMENTAL CAPEX = OPTION STRIKE  (per t/yr crude-steel capacity, 2025 USD)</t>
        </is>
      </c>
      <c r="B4" s="24" t="n"/>
      <c r="C4" s="24" t="n"/>
      <c r="D4" s="24" t="n"/>
      <c r="E4" s="24" t="n"/>
      <c r="F4" s="24" t="n"/>
      <c r="G4" s="24" t="n"/>
      <c r="H4" s="24" t="n"/>
    </row>
    <row r="5">
      <c r="A5" s="25" t="inlineStr">
        <is>
          <t>Item</t>
        </is>
      </c>
      <c r="B5" s="25" t="inlineStr">
        <is>
          <t>Value</t>
        </is>
      </c>
      <c r="C5" s="25" t="inlineStr">
        <is>
          <t>Unit</t>
        </is>
      </c>
      <c r="D5" s="25" t="inlineStr">
        <is>
          <t>Basis / formula</t>
        </is>
      </c>
      <c r="E5" s="25" t="inlineStr">
        <is>
          <t>Source</t>
        </is>
      </c>
      <c r="F5" s="25" t="inlineStr">
        <is>
          <t>Confidence</t>
        </is>
      </c>
      <c r="G5" s="25" t="inlineStr"/>
      <c r="H5" s="25" t="inlineStr"/>
    </row>
    <row r="6">
      <c r="A6" t="inlineStr">
        <is>
          <t>H2-DRI-EAF greenfield CAPEX</t>
        </is>
      </c>
      <c r="B6" t="inlineStr">
        <is>
          <t>~830</t>
        </is>
      </c>
      <c r="C6" t="inlineStr">
        <is>
          <t>USD per t/yr cap</t>
        </is>
      </c>
      <c r="D6" t="inlineStr">
        <is>
          <t>Midpoint of DIW DP2082 revisit ($600–1,060) &amp; LBL/DOE; incl. shaft + EAF + on-site electrolyser excl.</t>
        </is>
      </c>
      <c r="E6" t="inlineStr">
        <is>
          <t>DIW DP2082 (Mendelevitch 2025); LBL Green Steel</t>
        </is>
      </c>
      <c r="F6" t="inlineStr">
        <is>
          <t>MEDIUM</t>
        </is>
      </c>
    </row>
    <row r="7">
      <c r="A7" t="inlineStr">
        <is>
          <t xml:space="preserve">  └ ex-electrolyser (H2 purchased)</t>
        </is>
      </c>
      <c r="B7" t="inlineStr">
        <is>
          <t>~620</t>
        </is>
      </c>
      <c r="C7" t="inlineStr">
        <is>
          <t>USD per t/yr cap</t>
        </is>
      </c>
      <c r="D7" t="inlineStr">
        <is>
          <t>If H2 bought at gate (electrolyser CAPEX → H2 price). Phase-1 base: H2 purchased.</t>
        </is>
      </c>
      <c r="E7" t="inlineStr">
        <is>
          <t>DIW DP2082; LBL</t>
        </is>
      </c>
      <c r="F7" t="inlineStr">
        <is>
          <t>MEDIUM</t>
        </is>
      </c>
    </row>
    <row r="8">
      <c r="A8" t="inlineStr">
        <is>
          <t>Avoided BF reline CAPEX</t>
        </is>
      </c>
      <c r="B8" t="inlineStr">
        <is>
          <t>~200</t>
        </is>
      </c>
      <c r="C8" t="inlineStr">
        <is>
          <t>USD per t/yr cap</t>
        </is>
      </c>
      <c r="D8" t="inlineStr">
        <is>
          <t>BF reline ~$300–400M direct / ~5500 m3 ~3.5–4 Mt/yr ⇒ ~$80–110/t; +lost-production ~$50–150M ⇒ econ ~$150–250/t. POSCO 2-furnace ~$393M.</t>
        </is>
      </c>
      <c r="E8" t="inlineStr">
        <is>
          <t>steelonthenet; ACCR; POSCO/GMK 2024</t>
        </is>
      </c>
      <c r="F8" t="inlineStr">
        <is>
          <t>MEDIUM</t>
        </is>
      </c>
    </row>
    <row r="9">
      <c r="A9" t="inlineStr">
        <is>
          <t>Brownfield credit (reline due)</t>
        </is>
      </c>
      <c r="B9" t="inlineStr">
        <is>
          <t>conditional</t>
        </is>
      </c>
      <c r="C9" t="inlineStr">
        <is>
          <t>—</t>
        </is>
      </c>
      <c r="D9" t="inlineStr">
        <is>
          <t>Subtract avoided-reline ONLY at the asset's own reline year (timing channel). Off-cycle switch forgoes this credit.</t>
        </is>
      </c>
      <c r="E9" t="inlineStr">
        <is>
          <t>Vogl 2021; memo §6-A(A)</t>
        </is>
      </c>
      <c r="F9" t="inlineStr">
        <is>
          <t>HIGH(logic)</t>
        </is>
      </c>
    </row>
    <row r="10">
      <c r="A10" t="inlineStr">
        <is>
          <t>NET incremental strike K_inc (at reline)</t>
        </is>
      </c>
      <c r="B10" t="inlineStr">
        <is>
          <t>~420</t>
        </is>
      </c>
      <c r="C10" t="inlineStr">
        <is>
          <t>USD per t/yr cap</t>
        </is>
      </c>
      <c r="D10">
        <f> 620 (ex-electrolyser build) − 200 (avoided reline). One-off, irreversible. Multiply by asset capacity (Block C).</f>
        <v/>
      </c>
      <c r="E10" t="inlineStr">
        <is>
          <t>CAP derivation</t>
        </is>
      </c>
      <c r="F10" t="inlineStr">
        <is>
          <t>MEDIUM</t>
        </is>
      </c>
    </row>
    <row r="11">
      <c r="A11" t="inlineStr">
        <is>
          <t>NET strike off-cycle (no reline due)</t>
        </is>
      </c>
      <c r="B11" t="inlineStr">
        <is>
          <t>~620</t>
        </is>
      </c>
      <c r="C11" t="inlineStr">
        <is>
          <t>USD per t/yr cap</t>
        </is>
      </c>
      <c r="D11" t="inlineStr">
        <is>
          <t>No avoided-reline credit ⇒ full build cost. Quantifies timing-channel value of waiting for reline.</t>
        </is>
      </c>
      <c r="E11" t="inlineStr">
        <is>
          <t>CAP derivation</t>
        </is>
      </c>
      <c r="F11" t="inlineStr">
        <is>
          <t>MEDIUM</t>
        </is>
      </c>
    </row>
    <row r="12">
      <c r="A12" t="inlineStr">
        <is>
          <t>CAPEX learning rate (trend)</t>
        </is>
      </c>
      <c r="B12" t="inlineStr">
        <is>
          <t>~6–9</t>
        </is>
      </c>
      <c r="C12" t="inlineStr">
        <is>
          <t>% per doubling</t>
        </is>
      </c>
      <c r="D12" t="inlineStr">
        <is>
          <t>Applied to declining-trend in state process (GBM-around-trend). Use for T_i^GCAM-dated strikes.</t>
        </is>
      </c>
      <c r="E12" t="inlineStr">
        <is>
          <t>IEA; Transition Asia CAPEX 2025</t>
        </is>
      </c>
      <c r="F12" t="inlineStr">
        <is>
          <t>LOW-MED</t>
        </is>
      </c>
    </row>
    <row r="14">
      <c r="A14" s="23" t="inlineStr">
        <is>
          <t>BLOCK B — ΔOPEX PAYOFF = BF-BOF OPEX − H2-DRI OPEX  (per t crude steel; priced by state vars p_H2, p_elec)</t>
        </is>
      </c>
      <c r="B14" s="24" t="n"/>
      <c r="C14" s="24" t="n"/>
      <c r="D14" s="24" t="n"/>
      <c r="E14" s="24" t="n"/>
      <c r="F14" s="24" t="n"/>
      <c r="G14" s="24" t="n"/>
      <c r="H14" s="24" t="n"/>
    </row>
    <row r="15">
      <c r="A15" s="25" t="inlineStr">
        <is>
          <t>Input channel</t>
        </is>
      </c>
      <c r="B15" s="25" t="inlineStr">
        <is>
          <t>H2-DRI intensity</t>
        </is>
      </c>
      <c r="C15" s="25" t="inlineStr">
        <is>
          <t>BF-BOF intensity</t>
        </is>
      </c>
      <c r="D15" s="25" t="inlineStr">
        <is>
          <t>Unit</t>
        </is>
      </c>
      <c r="E15" s="25" t="inlineStr">
        <is>
          <t>Priced by (state var)</t>
        </is>
      </c>
      <c r="F15" s="25" t="inlineStr">
        <is>
          <t>Source</t>
        </is>
      </c>
      <c r="G15" s="25" t="inlineStr">
        <is>
          <t>Confidence</t>
        </is>
      </c>
      <c r="H15" s="25" t="inlineStr">
        <is>
          <t>Note</t>
        </is>
      </c>
    </row>
    <row r="16">
      <c r="A16" t="inlineStr">
        <is>
          <t>Hydrogen</t>
        </is>
      </c>
      <c r="B16" t="inlineStr">
        <is>
          <t>~55–65</t>
        </is>
      </c>
      <c r="C16" t="inlineStr">
        <is>
          <t>0</t>
        </is>
      </c>
      <c r="D16" t="inlineStr">
        <is>
          <t>kg H2 / t steel</t>
        </is>
      </c>
      <c r="E16" t="inlineStr">
        <is>
          <t>p_H2  [STATE 1]</t>
        </is>
      </c>
      <c r="F16" t="inlineStr">
        <is>
          <t>Lhyfe 54; SteelWatch ~60; Day-1 log ~68</t>
        </is>
      </c>
      <c r="G16" t="inlineStr">
        <is>
          <t>MEDIUM</t>
        </is>
      </c>
      <c r="H16" t="inlineStr">
        <is>
          <t>Reductant. Embeds electrolyser power if H2 purchased.</t>
        </is>
      </c>
    </row>
    <row r="17">
      <c r="A17" t="inlineStr">
        <is>
          <t>Electricity (EAF+DRI direct)</t>
        </is>
      </c>
      <c r="B17" t="inlineStr">
        <is>
          <t>~0.8</t>
        </is>
      </c>
      <c r="C17" t="inlineStr">
        <is>
          <t>~0.1</t>
        </is>
      </c>
      <c r="D17" t="inlineStr">
        <is>
          <t>MWh / t steel</t>
        </is>
      </c>
      <c r="E17" t="inlineStr">
        <is>
          <t>p_elec [STATE 2]</t>
        </is>
      </c>
      <c r="F17" t="inlineStr">
        <is>
          <t>LBL DRI-EAF 833 kWh/t; Midrex</t>
        </is>
      </c>
      <c r="G17" t="inlineStr">
        <is>
          <t>MEDIUM</t>
        </is>
      </c>
      <c r="H17" t="inlineStr">
        <is>
          <t>Excl. electrolyser (in p_H2 if purchased).</t>
        </is>
      </c>
    </row>
    <row r="18">
      <c r="A18" t="inlineStr">
        <is>
          <t>Electricity (incl. on-site electrolyser)</t>
        </is>
      </c>
      <c r="B18" t="inlineStr">
        <is>
          <t>~3.5–3.8</t>
        </is>
      </c>
      <c r="C18" t="inlineStr">
        <is>
          <t>~0.1</t>
        </is>
      </c>
      <c r="D18" t="inlineStr">
        <is>
          <t>MWh / t steel</t>
        </is>
      </c>
      <c r="E18" t="inlineStr">
        <is>
          <t>p_elec [STATE 2]</t>
        </is>
      </c>
      <c r="F18" t="inlineStr">
        <is>
          <t>LBL 3.48; China study 3.8 (DRI 0.83+H2 2.97)</t>
        </is>
      </c>
      <c r="G18" t="inlineStr">
        <is>
          <t>MEDIUM</t>
        </is>
      </c>
      <c r="H18" t="inlineStr">
        <is>
          <t>Use ONLY if firm self-generates H2 (then drop p_H2).</t>
        </is>
      </c>
    </row>
    <row r="19">
      <c r="A19" t="inlineStr">
        <is>
          <t>DR-grade pellet</t>
        </is>
      </c>
      <c r="B19" t="inlineStr">
        <is>
          <t>~1.6</t>
        </is>
      </c>
      <c r="C19" t="inlineStr">
        <is>
          <t>0 (lump/sinter)</t>
        </is>
      </c>
      <c r="D19" t="inlineStr">
        <is>
          <t>t / t steel</t>
        </is>
      </c>
      <c r="E19" t="inlineStr">
        <is>
          <t>p_ore (auxiliary)</t>
        </is>
      </c>
      <c r="F19" t="inlineStr">
        <is>
          <t>Midrex 1.45 t/t DRI × ~1.1 DRI/t steel</t>
        </is>
      </c>
      <c r="G19" t="inlineStr">
        <is>
          <t>MEDIUM</t>
        </is>
      </c>
      <c r="H19" t="inlineStr">
        <is>
          <t>DR-pellet premium ~$15–40/t over BF-grade.</t>
        </is>
      </c>
    </row>
    <row r="20">
      <c r="A20" t="inlineStr">
        <is>
          <t>Metallurgical (coking) coal</t>
        </is>
      </c>
      <c r="B20" t="inlineStr">
        <is>
          <t>0</t>
        </is>
      </c>
      <c r="C20" t="inlineStr">
        <is>
          <t>~0.75</t>
        </is>
      </c>
      <c r="D20" t="inlineStr">
        <is>
          <t>t / t steel</t>
        </is>
      </c>
      <c r="E20" t="inlineStr">
        <is>
          <t>p_coal (auxiliary)</t>
        </is>
      </c>
      <c r="F20" t="inlineStr">
        <is>
          <t>worldsteel; IEA Iron&amp;Steel</t>
        </is>
      </c>
      <c r="G20" t="inlineStr">
        <is>
          <t>HIGH</t>
        </is>
      </c>
      <c r="H20" t="inlineStr">
        <is>
          <t>BF-BOF only. Avoided cost = part of ΔOPEX upside.</t>
        </is>
      </c>
    </row>
    <row r="21">
      <c r="A21" t="inlineStr">
        <is>
          <t>Scrap (EAF charge)</t>
        </is>
      </c>
      <c r="B21" t="inlineStr">
        <is>
          <t>~0.1–0.3</t>
        </is>
      </c>
      <c r="C21" t="inlineStr">
        <is>
          <t>~0.15 (BOF)</t>
        </is>
      </c>
      <c r="D21" t="inlineStr">
        <is>
          <t>t / t steel</t>
        </is>
      </c>
      <c r="E21" t="inlineStr">
        <is>
          <t>p_scrap (auxiliary)</t>
        </is>
      </c>
      <c r="F21" t="inlineStr">
        <is>
          <t>IEA; LBL</t>
        </is>
      </c>
      <c r="G21" t="inlineStr">
        <is>
          <t>MEDIUM</t>
        </is>
      </c>
      <c r="H21" t="inlineStr">
        <is>
          <t>DRI-EAF can take scrap blend.</t>
        </is>
      </c>
    </row>
    <row r="22">
      <c r="A22" t="inlineStr">
        <is>
          <t>CO2 (carbon cost)</t>
        </is>
      </c>
      <c r="B22" t="inlineStr">
        <is>
          <t>~0.1–0.4</t>
        </is>
      </c>
      <c r="C22" t="inlineStr">
        <is>
          <t>~1.8–2.2</t>
        </is>
      </c>
      <c r="D22" t="inlineStr">
        <is>
          <t>tCO2 / t steel</t>
        </is>
      </c>
      <c r="E22" t="inlineStr">
        <is>
          <t>p_carbon (quasi-const, KR/JP)</t>
        </is>
      </c>
      <c r="F22" t="inlineStr">
        <is>
          <t>Karplus #155/#176; Company_Data</t>
        </is>
      </c>
      <c r="G22" t="inlineStr">
        <is>
          <t>MEDIUM</t>
        </is>
      </c>
      <c r="H22" t="inlineStr">
        <is>
          <t>ΔEmissions denom. KR/JP realized price ~$1 ⇒ near-dead channel.</t>
        </is>
      </c>
    </row>
    <row r="23">
      <c r="A23" t="inlineStr">
        <is>
          <t>Indicative all-in production cost</t>
        </is>
      </c>
      <c r="B23" t="inlineStr">
        <is>
          <t>~550–800</t>
        </is>
      </c>
      <c r="C23" t="inlineStr">
        <is>
          <t>~400–450</t>
        </is>
      </c>
      <c r="D23" t="inlineStr">
        <is>
          <t>USD / t steel</t>
        </is>
      </c>
      <c r="E23">
        <f> Σ intensity×price</f>
        <v/>
      </c>
      <c r="F23" t="inlineStr">
        <is>
          <t>Steel_MACC sheet; LBL/DOE</t>
        </is>
      </c>
      <c r="G23" t="inlineStr">
        <is>
          <t>MEDIUM</t>
        </is>
      </c>
      <c r="H23" t="inlineStr">
        <is>
          <t>Green premium ~+30–80% at current H2 ~$4–5/kg.</t>
        </is>
      </c>
    </row>
    <row r="25">
      <c r="A25" s="22" t="inlineStr">
        <is>
          <t>Decision rule (per asset, per exercise date): switch if  NPV[ Σ_t ΔOPEX_t(p_H2,p_elec) ] − K_inc  &gt;  continuation (waiting-option) value  [LSM, #198].</t>
        </is>
      </c>
    </row>
    <row r="27">
      <c r="A27" s="23" t="inlineStr">
        <is>
          <t>BLOCK C — PHASE-1 ASSET TABLE: 5 firms × 4 heterogeneity channels (scale · timing · intensity · jurisdiction)</t>
        </is>
      </c>
      <c r="B27" s="24" t="n"/>
      <c r="C27" s="24" t="n"/>
      <c r="D27" s="24" t="n"/>
      <c r="E27" s="24" t="n"/>
      <c r="F27" s="24" t="n"/>
      <c r="G27" s="24" t="n"/>
      <c r="H27" s="24" t="n"/>
    </row>
    <row r="28">
      <c r="A28" s="25" t="inlineStr">
        <is>
          <t>Firm</t>
        </is>
      </c>
      <c r="B28" s="25" t="inlineStr">
        <is>
          <t>Lead BF asset</t>
        </is>
      </c>
      <c r="C28" s="25" t="inlineStr">
        <is>
          <t>Capacity Mt/yr (scale)</t>
        </is>
      </c>
      <c r="D28" s="25" t="inlineStr">
        <is>
          <t>Reline year (timing)</t>
        </is>
      </c>
      <c r="E28" s="25" t="inlineStr">
        <is>
          <t>Emission int. tCO2/t (intensity)</t>
        </is>
      </c>
      <c r="F28" s="25" t="inlineStr">
        <is>
          <t>Jurisdiction WACC (channel 4)</t>
        </is>
      </c>
      <c r="G28" s="25" t="inlineStr">
        <is>
          <t>K_inc total ~USD bn @reline</t>
        </is>
      </c>
      <c r="H28" s="25" t="inlineStr">
        <is>
          <t>Source/note</t>
        </is>
      </c>
    </row>
    <row r="29">
      <c r="A29" t="inlineStr">
        <is>
          <t>POSCO</t>
        </is>
      </c>
      <c r="B29" t="inlineStr">
        <is>
          <t>Gwangyang BF No.5 / No.3</t>
        </is>
      </c>
      <c r="C29" t="inlineStr">
        <is>
          <t>~3.5–4.0 (per BF)</t>
        </is>
      </c>
      <c r="D29" t="inlineStr">
        <is>
          <t>2033</t>
        </is>
      </c>
      <c r="E29" t="inlineStr">
        <is>
          <t>~2.0</t>
        </is>
      </c>
      <c r="F29" t="inlineStr">
        <is>
          <t>KR ~7–8% (proj.) / ~5% corp</t>
        </is>
      </c>
      <c r="G29" t="inlineStr">
        <is>
          <t>~1.5–1.7</t>
        </is>
      </c>
      <c r="H29" t="inlineStr">
        <is>
          <t>BF_Relining sheet; reline 2033</t>
        </is>
      </c>
    </row>
    <row r="30">
      <c r="A30" t="inlineStr">
        <is>
          <t>Hyundai Steel</t>
        </is>
      </c>
      <c r="B30" t="inlineStr">
        <is>
          <t>Dangjin BF No.1</t>
        </is>
      </c>
      <c r="C30" t="inlineStr">
        <is>
          <t>~4.0</t>
        </is>
      </c>
      <c r="D30" t="inlineStr">
        <is>
          <t>2030</t>
        </is>
      </c>
      <c r="E30" t="inlineStr">
        <is>
          <t>~2.1</t>
        </is>
      </c>
      <c r="F30" t="inlineStr">
        <is>
          <t>KR ~7–8% / ~5% corp</t>
        </is>
      </c>
      <c r="G30" t="inlineStr">
        <is>
          <t>~1.7</t>
        </is>
      </c>
      <c r="H30" t="inlineStr">
        <is>
          <t>Dangjin No.1 reline 2030 = nearest KR exercise</t>
        </is>
      </c>
    </row>
    <row r="31">
      <c r="A31" t="inlineStr">
        <is>
          <t>Nippon Steel</t>
        </is>
      </c>
      <c r="B31" t="inlineStr">
        <is>
          <t>Group BFs (reline by 2030)</t>
        </is>
      </c>
      <c r="C31" t="inlineStr">
        <is>
          <t>~4–5 (per BF)</t>
        </is>
      </c>
      <c r="D31" t="inlineStr">
        <is>
          <t>~2028–2030</t>
        </is>
      </c>
      <c r="E31" t="inlineStr">
        <is>
          <t>~2.0</t>
        </is>
      </c>
      <c r="F31" t="inlineStr">
        <is>
          <t>JP ~3–4% (proj.) / ~2.3% corp</t>
        </is>
      </c>
      <c r="G31" t="inlineStr">
        <is>
          <t>~1.7–2.1</t>
        </is>
      </c>
      <c r="H31" t="inlineStr">
        <is>
          <t>Yawata retire FY2028→EAF; Kimitsu pilot</t>
        </is>
      </c>
    </row>
    <row r="32">
      <c r="A32" t="inlineStr">
        <is>
          <t>JFE Steel</t>
        </is>
      </c>
      <c r="B32" t="inlineStr">
        <is>
          <t>Chiba BF No.6 / Kurashiki No.3</t>
        </is>
      </c>
      <c r="C32" t="inlineStr">
        <is>
          <t>~4.1–4.5</t>
        </is>
      </c>
      <c r="D32" t="inlineStr">
        <is>
          <t>2034 / 2035</t>
        </is>
      </c>
      <c r="E32" t="inlineStr">
        <is>
          <t>~2.0</t>
        </is>
      </c>
      <c r="F32" t="inlineStr">
        <is>
          <t>JP ~3–4% / ~2.3% corp</t>
        </is>
      </c>
      <c r="G32" t="inlineStr">
        <is>
          <t>~1.7–1.9</t>
        </is>
      </c>
      <c r="H32" t="inlineStr">
        <is>
          <t>Kurashiki No.2 retire 2028→2Mt EAF</t>
        </is>
      </c>
    </row>
    <row r="33">
      <c r="A33" t="inlineStr">
        <is>
          <t>Kobe Steel</t>
        </is>
      </c>
      <c r="B33" t="inlineStr">
        <is>
          <t>Kakogawa BF No.2/3</t>
        </is>
      </c>
      <c r="C33" t="inlineStr">
        <is>
          <t>~3 (per BF)</t>
        </is>
      </c>
      <c r="D33" t="inlineStr">
        <is>
          <t>~2030s</t>
        </is>
      </c>
      <c r="E33" t="inlineStr">
        <is>
          <t>~2.0</t>
        </is>
      </c>
      <c r="F33" t="inlineStr">
        <is>
          <t>JP ~3–4% / ~2.3% corp</t>
        </is>
      </c>
      <c r="G33" t="inlineStr">
        <is>
          <t>~1.3</t>
        </is>
      </c>
      <c r="H33" t="inlineStr">
        <is>
          <t>H2-injection life-extension; Oman NG-DRI hedge</t>
        </is>
      </c>
    </row>
    <row r="35">
      <c r="A35" s="23" t="inlineStr">
        <is>
          <t>BLOCK D — JURISDICTION / DISCOUNT-RATE INPUTS  (channel 4; r in decision rule &amp; C4 policy lever)</t>
        </is>
      </c>
      <c r="B35" s="24" t="n"/>
      <c r="C35" s="24" t="n"/>
      <c r="D35" s="24" t="n"/>
      <c r="E35" s="24" t="n"/>
      <c r="F35" s="24" t="n"/>
      <c r="G35" s="24" t="n"/>
      <c r="H35" s="24" t="n"/>
    </row>
    <row r="36">
      <c r="A36" s="25" t="inlineStr">
        <is>
          <t>Rate concept</t>
        </is>
      </c>
      <c r="B36" s="25" t="inlineStr">
        <is>
          <t>Korea (KR)</t>
        </is>
      </c>
      <c r="C36" s="25" t="inlineStr">
        <is>
          <t>Japan (JP)</t>
        </is>
      </c>
      <c r="D36" s="25" t="inlineStr">
        <is>
          <t>Use in model</t>
        </is>
      </c>
      <c r="E36" s="25" t="inlineStr">
        <is>
          <t>Source</t>
        </is>
      </c>
      <c r="F36" s="25" t="inlineStr">
        <is>
          <t>Confidence</t>
        </is>
      </c>
      <c r="G36" s="25" t="inlineStr"/>
      <c r="H36" s="25" t="inlineStr"/>
    </row>
    <row r="37">
      <c r="A37" t="inlineStr">
        <is>
          <t>Corporate WACC (steel major)</t>
        </is>
      </c>
      <c r="B37" t="inlineStr">
        <is>
          <t>~4.8–5.0%</t>
        </is>
      </c>
      <c r="C37" t="inlineStr">
        <is>
          <t>~2.3–3.8%</t>
        </is>
      </c>
      <c r="D37" t="inlineStr">
        <is>
          <t>Lower bound on r</t>
        </is>
      </c>
      <c r="E37" t="inlineStr">
        <is>
          <t>POSCO 4.84% (GuruFocus 2022); Nippon 2.25% (2026), 10yr median 3.83%</t>
        </is>
      </c>
      <c r="F37" t="inlineStr">
        <is>
          <t>MEDIUM</t>
        </is>
      </c>
    </row>
    <row r="38">
      <c r="A38" t="inlineStr">
        <is>
          <t>Green-project hurdle rate (Phase-1 base r)</t>
        </is>
      </c>
      <c r="B38" t="inlineStr">
        <is>
          <t>~7–8%</t>
        </is>
      </c>
      <c r="C38" t="inlineStr">
        <is>
          <t>~3–4%</t>
        </is>
      </c>
      <c r="D38" t="inlineStr">
        <is>
          <t>BASE discount rate r</t>
        </is>
      </c>
      <c r="E38" t="inlineStr">
        <is>
          <t>Reset §6-A(B); risk-adj. first-of-kind premium over corp WACC</t>
        </is>
      </c>
      <c r="F38" t="inlineStr">
        <is>
          <t>MEDIUM</t>
        </is>
      </c>
    </row>
    <row r="39">
      <c r="A39" t="inlineStr">
        <is>
          <t>KR–JP spread (Δr)</t>
        </is>
      </c>
      <c r="B39" t="inlineStr">
        <is>
          <t>~+3–4 pts (KR higher)</t>
        </is>
      </c>
      <c r="C39" t="inlineStr">
        <is>
          <t>—</t>
        </is>
      </c>
      <c r="D39" t="inlineStr">
        <is>
          <t>C4 lever magnitude</t>
        </is>
      </c>
      <c r="E39" t="inlineStr">
        <is>
          <t>Derived</t>
        </is>
      </c>
      <c r="F39" t="inlineStr">
        <is>
          <t>MEDIUM</t>
        </is>
      </c>
    </row>
    <row r="40">
      <c r="A40" t="inlineStr">
        <is>
          <t>C4 policy effect (guarantee/transition bond)</t>
        </is>
      </c>
      <c r="B40" t="inlineStr">
        <is>
          <t>r → r−Δr</t>
        </is>
      </c>
      <c r="C40" t="inlineStr">
        <is>
          <t>r → r−Δr</t>
        </is>
      </c>
      <c r="D40" t="inlineStr">
        <is>
          <t>Lowers strike PV; KR-strong</t>
        </is>
      </c>
      <c r="E40" t="inlineStr">
        <is>
          <t>Day-5 4-channel map; JP GX ¥20T</t>
        </is>
      </c>
      <c r="F40" t="inlineStr">
        <is>
          <t>MEDIUM</t>
        </is>
      </c>
    </row>
    <row r="43">
      <c r="A43" s="22" t="inlineStr">
        <is>
          <t>NOTE: corporate WACC (≈2–5%) &lt; Phase-1 project hurdle (3–8%). The 7–8%/3–4% bands are RISK-ADJUSTED first-of-a-kind project rates (Reset §6-A); corporate WACC is the floor as the technology de-risks. Model reports both as an r-band, mirroring the GBM/MR gap band.</t>
        </is>
      </c>
    </row>
    <row r="44">
      <c r="A44" s="22" t="inlineStr">
        <is>
          <t>SPARK coverage caveat: same-technology unit-level true unit-cost differences NOT captured (Phase-2). Asset heterogeneity enters via 4 channels only (memo §6-A limitation).</t>
        </is>
      </c>
    </row>
    <row r="46">
      <c r="A46" s="23" t="inlineStr">
        <is>
          <t>BLOCK E — STATE-VARIABLE CALIBRATION: drift (μ) &amp; volatility (σ)  [inputs to 2-factor LSM; built 2026-06-18 Wk11 Day4]</t>
        </is>
      </c>
      <c r="B46" s="24" t="n"/>
      <c r="C46" s="24" t="n"/>
      <c r="D46" s="24" t="n"/>
      <c r="E46" s="24" t="n"/>
      <c r="F46" s="24" t="n"/>
      <c r="G46" s="24" t="n"/>
      <c r="H46" s="24" t="n"/>
    </row>
    <row r="47">
      <c r="A47" s="26" t="inlineStr">
        <is>
          <t>State variable</t>
        </is>
      </c>
      <c r="B47" s="26" t="inlineStr">
        <is>
          <t>Role in switch payoff</t>
        </is>
      </c>
      <c r="C47" s="26" t="inlineStr">
        <is>
          <t>Current level (2026)</t>
        </is>
      </c>
      <c r="D47" s="26" t="inlineStr">
        <is>
          <t>Drift μ (annual, real)</t>
        </is>
      </c>
      <c r="E47" s="26" t="inlineStr">
        <is>
          <t>Volatility σ (annual)</t>
        </is>
      </c>
      <c r="F47" s="26" t="inlineStr">
        <is>
          <t>Stoch. process</t>
        </is>
      </c>
      <c r="G47" s="26" t="inlineStr">
        <is>
          <t>Source</t>
        </is>
      </c>
      <c r="H47" s="26" t="inlineStr">
        <is>
          <t>Confidence</t>
        </is>
      </c>
    </row>
    <row r="48">
      <c r="A48" s="5" t="inlineStr">
        <is>
          <t>p_H2  [STATE 1]</t>
        </is>
      </c>
      <c r="B48" s="5" t="inlineStr">
        <is>
          <t>New-tech COST (reductant). 55–65 kg/t.</t>
        </is>
      </c>
      <c r="C48" s="5" t="inlineStr">
        <is>
          <t>~$5–6/kg KR/JP gate (APAC ~$6.5 Jan-26; EU ~$7.2 May-26)</t>
        </is>
      </c>
      <c r="D48" s="5" t="inlineStr">
        <is>
          <t>~ −4 to −7% (declining: electrolyser learning + cheap RE)</t>
        </is>
      </c>
      <c r="E48" s="5" t="inlineStr">
        <is>
          <t>~25–35% (LOW conf; no liquid spot — proxied via elec 55–70% of LCOH + electrolyser CAPEX + green premium)</t>
        </is>
      </c>
      <c r="F48" s="5" t="inlineStr">
        <is>
          <t>GBM-around-declining-trend</t>
        </is>
      </c>
      <c r="G48" s="5" t="inlineStr">
        <is>
          <t>IMARC H2 index; energy-solutions.co; DOE Hydrogen Shot</t>
        </is>
      </c>
      <c r="H48" s="5" t="inlineStr">
        <is>
          <t>LOW</t>
        </is>
      </c>
    </row>
    <row r="49">
      <c r="A49" s="5" t="inlineStr">
        <is>
          <t>p_elec [STATE 2]</t>
        </is>
      </c>
      <c r="B49" s="5" t="inlineStr">
        <is>
          <t>New-tech COST (EAF+DRI ~0.8 MWh/t; 3.5–3.8 if self-electrolysis)</t>
        </is>
      </c>
      <c r="C49" s="5" t="inlineStr">
        <is>
          <t>~$70–120/MWh KR/JP industrial (JP ~17.5 JPY/kWh Oct-25 ≈$115)</t>
        </is>
      </c>
      <c r="D49" s="5" t="inlineStr">
        <is>
          <t>~ −1 to −2% (RE deployment) w/ upside regulated-tariff risk</t>
        </is>
      </c>
      <c r="E49" s="5" t="inlineStr">
        <is>
          <t>~15–25% (energy-price vol literature)</t>
        </is>
      </c>
      <c r="F49" s="5" t="inlineStr">
        <is>
          <t>GBM-around-trend (MR robustness)</t>
        </is>
      </c>
      <c r="G49" s="5" t="inlineStr">
        <is>
          <t>Intratec JP elec; IEEFA KR PPA; Elcano energy-vol</t>
        </is>
      </c>
      <c r="H49" s="5" t="inlineStr">
        <is>
          <t>MEDIUM</t>
        </is>
      </c>
    </row>
    <row r="50">
      <c r="A50" s="5" t="inlineStr">
        <is>
          <t>p_ore (DR pellet)</t>
        </is>
      </c>
      <c r="B50" s="5" t="inlineStr">
        <is>
          <t>New-tech COST (DR-grade pellet ~1.6 t/t; +$15–40/t premium vs BF-grade)</t>
        </is>
      </c>
      <c r="C50" s="5" t="inlineStr">
        <is>
          <t>~$95–100/t fines + DR premium (Fitch 2026 $95–100/t)</t>
        </is>
      </c>
      <c r="D50" s="5" t="inlineStr">
        <is>
          <t>~0% (flat; demand-driven)</t>
        </is>
      </c>
      <c r="E50" s="5" t="inlineStr">
        <is>
          <t>~25–30% (iron ore historically among more volatile bulks)</t>
        </is>
      </c>
      <c r="F50" s="5" t="inlineStr">
        <is>
          <t>GBM (auxiliary)</t>
        </is>
      </c>
      <c r="G50" s="5" t="inlineStr">
        <is>
          <t>Fitch 2026 (SteelOrbis); TradingEconomics iron ore</t>
        </is>
      </c>
      <c r="H50" s="5" t="inlineStr">
        <is>
          <t>MEDIUM</t>
        </is>
      </c>
    </row>
    <row r="51">
      <c r="A51" s="5" t="inlineStr">
        <is>
          <t>p_coal (coking)</t>
        </is>
      </c>
      <c r="B51" s="5" t="inlineStr">
        <is>
          <t>AVOIDED COST on BF side ~0.75 t/t (its upside RAISES switch payoff)</t>
        </is>
      </c>
      <c r="C51" s="5" t="inlineStr">
        <is>
          <t>~$190–220/t (Fitch 2026 met coal)</t>
        </is>
      </c>
      <c r="D51" s="5" t="inlineStr">
        <is>
          <t>~0 to −1% (flat/soft)</t>
        </is>
      </c>
      <c r="E51" s="5" t="inlineStr">
        <is>
          <t>~35–45% (met coal highly volatile; 2022 spike &gt;$600)</t>
        </is>
      </c>
      <c r="F51" s="5" t="inlineStr">
        <is>
          <t>GBM (auxiliary)</t>
        </is>
      </c>
      <c r="G51" s="5" t="inlineStr">
        <is>
          <t>Fitch 2026; steelonthenet raw-material trends</t>
        </is>
      </c>
      <c r="H51" s="5" t="inlineStr">
        <is>
          <t>MEDIUM</t>
        </is>
      </c>
    </row>
    <row r="52">
      <c r="A52" s="5" t="inlineStr">
        <is>
          <t>p_scrap</t>
        </is>
      </c>
      <c r="B52" s="5" t="inlineStr">
        <is>
          <t>Minor (EAF charge ~0.1–0.3 t/t vs BOF ~0.15)</t>
        </is>
      </c>
      <c r="C52" s="5" t="inlineStr">
        <is>
          <t>~$350–380/t (rangebound 2026–27; −9.1% FY decline N.Am.)</t>
        </is>
      </c>
      <c r="D52" s="5" t="inlineStr">
        <is>
          <t>~0% (rangebound)</t>
        </is>
      </c>
      <c r="E52" s="5" t="inlineStr">
        <is>
          <t>~20–25%</t>
        </is>
      </c>
      <c r="F52" s="5" t="inlineStr">
        <is>
          <t>GBM (auxiliary)</t>
        </is>
      </c>
      <c r="G52" s="5" t="inlineStr">
        <is>
          <t>Expert Market Research; Steel Market Update</t>
        </is>
      </c>
      <c r="H52" s="5" t="inlineStr">
        <is>
          <t>MEDIUM</t>
        </is>
      </c>
    </row>
    <row r="53">
      <c r="A53" s="5" t="inlineStr">
        <is>
          <t>p_carbon (KR/JP)</t>
        </is>
      </c>
      <c r="B53" s="5" t="inlineStr">
        <is>
          <t>Near-dead channel. ΔEmiss ~1.9 tCO2/t physical but realized price ~$1</t>
        </is>
      </c>
      <c r="C53" s="5" t="inlineStr">
        <is>
          <t>KR-ETS ~$0.9 eff / JP GX ~$0.6–1.4 eff (free alloc); EUA ref €76–78</t>
        </is>
      </c>
      <c r="D53" s="5" t="inlineStr">
        <is>
          <t>administered; quasi-flat to mid-2030s</t>
        </is>
      </c>
      <c r="E53" s="5" t="inlineStr">
        <is>
          <t>effective σ ≈ 0 for KR/JP realized (EUA Carbon VIX ~30–40% if it mattered)</t>
        </is>
      </c>
      <c r="F53" s="5" t="inlineStr">
        <is>
          <t>quasi-constant (KR/JP); EUA= sep. GBM if used</t>
        </is>
      </c>
      <c r="G53" s="5" t="inlineStr">
        <is>
          <t>Day-4 06-04 log; Carbon VIX NBER w32937 (#180)</t>
        </is>
      </c>
      <c r="H53" s="5" t="inlineStr">
        <is>
          <t>MEDIUM</t>
        </is>
      </c>
    </row>
    <row r="55">
      <c r="A55" s="23" t="inlineStr">
        <is>
          <t>BLOCK F — CORRELATION MATRIX ρ (state innovations; for joint simulation of payoff drivers)</t>
        </is>
      </c>
      <c r="B55" s="24" t="n"/>
      <c r="C55" s="24" t="n"/>
      <c r="D55" s="24" t="n"/>
      <c r="E55" s="24" t="n"/>
      <c r="F55" s="24" t="n"/>
      <c r="G55" s="24" t="n"/>
      <c r="H55" s="24" t="n"/>
    </row>
    <row r="56">
      <c r="A56" s="26" t="inlineStr">
        <is>
          <t>ρ</t>
        </is>
      </c>
      <c r="B56" s="26" t="inlineStr">
        <is>
          <t>p_H2</t>
        </is>
      </c>
      <c r="C56" s="26" t="inlineStr">
        <is>
          <t>p_elec</t>
        </is>
      </c>
      <c r="D56" s="26" t="inlineStr">
        <is>
          <t>p_ore</t>
        </is>
      </c>
      <c r="E56" s="26" t="inlineStr">
        <is>
          <t>p_coal</t>
        </is>
      </c>
      <c r="F56" s="26" t="inlineStr">
        <is>
          <t>p_scrap</t>
        </is>
      </c>
      <c r="G56" s="26" t="inlineStr">
        <is>
          <t>p_carbon</t>
        </is>
      </c>
      <c r="H56" s="26" t="inlineStr">
        <is>
          <t>Note</t>
        </is>
      </c>
    </row>
    <row r="57">
      <c r="A57" s="5" t="inlineStr">
        <is>
          <t>p_H2</t>
        </is>
      </c>
      <c r="B57" s="5" t="n">
        <v>1</v>
      </c>
      <c r="C57" s="5" t="n">
        <v>0.7</v>
      </c>
      <c r="D57" s="5" t="n">
        <v>0.15</v>
      </c>
      <c r="E57" s="5" t="n">
        <v>0.1</v>
      </c>
      <c r="F57" s="5" t="n">
        <v>0.1</v>
      </c>
      <c r="G57" s="5" t="n">
        <v>0.1</v>
      </c>
      <c r="H57" s="5" t="inlineStr">
        <is>
          <t>ρ(H2,elec) HIGH: elec = 55–70% of green-H2 LCOH (energy-solutions.co)</t>
        </is>
      </c>
    </row>
    <row r="58">
      <c r="A58" s="5" t="inlineStr">
        <is>
          <t>p_elec</t>
        </is>
      </c>
      <c r="B58" s="5" t="n">
        <v>0.7</v>
      </c>
      <c r="C58" s="5" t="n">
        <v>1</v>
      </c>
      <c r="D58" s="5" t="n">
        <v>0.2</v>
      </c>
      <c r="E58" s="5" t="n">
        <v>0.3</v>
      </c>
      <c r="F58" s="5" t="n">
        <v>0.15</v>
      </c>
      <c r="G58" s="5" t="n">
        <v>0.3</v>
      </c>
      <c r="H58" s="5" t="inlineStr">
        <is>
          <t>elec–gas strong +; EUA–gas ~0.3 (volatile)</t>
        </is>
      </c>
    </row>
    <row r="59">
      <c r="A59" s="5" t="inlineStr">
        <is>
          <t>p_ore</t>
        </is>
      </c>
      <c r="B59" s="5" t="n">
        <v>0.15</v>
      </c>
      <c r="C59" s="5" t="n">
        <v>0.2</v>
      </c>
      <c r="D59" s="5" t="n">
        <v>1</v>
      </c>
      <c r="E59" s="5" t="n">
        <v>0.4</v>
      </c>
      <c r="F59" s="5" t="n">
        <v>0.55</v>
      </c>
      <c r="G59" s="5" t="n">
        <v>0.1</v>
      </c>
      <c r="H59" s="5" t="inlineStr">
        <is>
          <t>ore–scrap &amp; ore–coal co-move w/ steel demand</t>
        </is>
      </c>
    </row>
    <row r="60">
      <c r="A60" s="5" t="inlineStr">
        <is>
          <t>p_coal</t>
        </is>
      </c>
      <c r="B60" s="5" t="n">
        <v>0.1</v>
      </c>
      <c r="C60" s="5" t="n">
        <v>0.3</v>
      </c>
      <c r="D60" s="5" t="n">
        <v>0.4</v>
      </c>
      <c r="E60" s="5" t="n">
        <v>1</v>
      </c>
      <c r="F60" s="5" t="n">
        <v>0.35</v>
      </c>
      <c r="G60" s="5" t="n">
        <v>0.3</v>
      </c>
      <c r="H60" s="5" t="inlineStr">
        <is>
          <t>met coal–gas energy linkage</t>
        </is>
      </c>
    </row>
    <row r="61">
      <c r="A61" s="5" t="inlineStr">
        <is>
          <t>p_scrap</t>
        </is>
      </c>
      <c r="B61" s="5" t="n">
        <v>0.1</v>
      </c>
      <c r="C61" s="5" t="n">
        <v>0.15</v>
      </c>
      <c r="D61" s="5" t="n">
        <v>0.55</v>
      </c>
      <c r="E61" s="5" t="n">
        <v>0.35</v>
      </c>
      <c r="F61" s="5" t="n">
        <v>1</v>
      </c>
      <c r="G61" s="5" t="n">
        <v>0.05</v>
      </c>
      <c r="H61" s="5" t="inlineStr">
        <is>
          <t>scrap tracks finished-steel/ore</t>
        </is>
      </c>
    </row>
    <row r="62">
      <c r="A62" s="5" t="inlineStr">
        <is>
          <t>p_carbon</t>
        </is>
      </c>
      <c r="B62" s="5" t="n">
        <v>0.1</v>
      </c>
      <c r="C62" s="5" t="n">
        <v>0.3</v>
      </c>
      <c r="D62" s="5" t="n">
        <v>0.1</v>
      </c>
      <c r="E62" s="5" t="n">
        <v>0.3</v>
      </c>
      <c r="F62" s="5" t="n">
        <v>0.05</v>
      </c>
      <c r="G62" s="5" t="n">
        <v>1</v>
      </c>
      <c r="H62" s="5" t="inlineStr">
        <is>
          <t>KR/JP administered ⇒ ~0 in practice; values shown for EUA-linked robustness</t>
        </is>
      </c>
    </row>
    <row r="63">
      <c r="A63" s="27" t="inlineStr">
        <is>
          <t>Estimates (~) triangulated from energy/carbon-market connectedness literature (Frontiers 2023; arXiv 2208.14311); confidence LOW–MED. To be replaced w/ asset-region time-series at Phase-1 estimation.</t>
        </is>
      </c>
    </row>
    <row r="65">
      <c r="A65" s="23" t="inlineStr">
        <is>
          <t>BLOCK G — MODELING IMPLICATIONS (Day-4)</t>
        </is>
      </c>
      <c r="B65" s="24" t="n"/>
      <c r="C65" s="24" t="n"/>
      <c r="D65" s="24" t="n"/>
      <c r="E65" s="24" t="n"/>
      <c r="F65" s="24" t="n"/>
      <c r="G65" s="24" t="n"/>
      <c r="H65" s="24" t="n"/>
    </row>
    <row r="66">
      <c r="A66" s="28" t="inlineStr">
        <is>
          <t>1. Two primary drivers (p_H2, p_elec) are BOTH new-tech costs and STRONGLY positively correlated (ρ~0.7) → their cost variance is amplified, not diversified → RAISES the value of waiting (continuation value) → widens the conditions/timing gap the policy set (C1–C4) must close.</t>
        </is>
      </c>
    </row>
    <row r="67">
      <c r="A67" s="28" t="inlineStr">
        <is>
          <t>2. p_coal &amp; p_carbon enter with OPPOSITE sign (avoided BF costs) → positive coal/carbon shocks improve switch payoff; their low/near-zero correlation with H2–elec gives a partial natural hedge — but the KR/JP carbon channel is ~dead, so coal is the main avoided-cost hedge.</t>
        </is>
      </c>
    </row>
    <row r="68">
      <c r="A68" s="28" t="inlineStr">
        <is>
          <t>3. σ_H2 is the largest single uncertainty and the weakest-identified (LOW conf, no liquid spot) → headline frontier MUST be reported as a band over σ_H2 ∈ [25%,35%] and process {GBM, mean-reversion}, consistent w/ Day-2 GBM/MR band and Day-3 r-band reporting.</t>
        </is>
      </c>
    </row>
    <row r="69">
      <c r="A69" s="28" t="inlineStr">
        <is>
          <t>4. Declining drift on p_H2 (−4 to −7%/yr) means the switch payoff IMPROVES over time mechanically → reinforces a "wait for reline year" optimum (Day-3 timing channel: strike $420 @reline vs $620 off-cycle). Calibration now lets LSM trade off declining-cost drift vs avoided-reline credit.</t>
        </is>
      </c>
    </row>
    <row r="70">
      <c r="A70" s="28" t="inlineStr">
        <is>
          <t>5. Remaining inputs before Phase-1 LSM can run: annual Q^GCAM(t) deployment curve (Day-1 carry; Zenodo 14171830 / KOASAS 300934) to set asset exercise windows T_i^GCAM. Cost + state-var inputs are now complete.</t>
        </is>
      </c>
    </row>
    <row r="72">
      <c r="A72" s="29" t="inlineStr">
        <is>
          <t>BLOCK H — INSTRUMENT CALIBRATION (Day-5, 2026-06-19): what each channel must DELIVER to close the gap (uses Day-3 strike + Day-4 σ/ρ)</t>
        </is>
      </c>
    </row>
    <row r="73">
      <c r="A73" s="29" t="inlineStr">
        <is>
          <t>Baseline gap</t>
        </is>
      </c>
      <c r="B73" s="29" t="inlineStr">
        <is>
          <t>Value</t>
        </is>
      </c>
      <c r="C73" s="29" t="inlineStr">
        <is>
          <t>Unit</t>
        </is>
      </c>
      <c r="D73" s="29" t="inlineStr">
        <is>
          <t>Derivation</t>
        </is>
      </c>
      <c r="E73" s="29" t="inlineStr">
        <is>
          <t>Source/note</t>
        </is>
      </c>
      <c r="F73" s="29" t="inlineStr">
        <is>
          <t>Confidence</t>
        </is>
      </c>
    </row>
    <row r="74">
      <c r="A74" t="inlineStr">
        <is>
          <t>H2-DRI all-in cost (now)</t>
        </is>
      </c>
      <c r="B74" t="inlineStr">
        <is>
          <t>~550–800</t>
        </is>
      </c>
      <c r="C74" t="inlineStr">
        <is>
          <t>USD/t steel</t>
        </is>
      </c>
      <c r="D74" t="inlineStr">
        <is>
          <t>65 kg H2×$5–6 + 0.8 MWh×$70–120 + 1.6 t pellet×~$110</t>
        </is>
      </c>
      <c r="E74" t="inlineStr">
        <is>
          <t>BLOCK B; LBL/Steel_MACC</t>
        </is>
      </c>
      <c r="F74" t="inlineStr">
        <is>
          <t>MEDIUM</t>
        </is>
      </c>
    </row>
    <row r="75">
      <c r="A75" t="inlineStr">
        <is>
          <t>BF-BOF all-in cost (now)</t>
        </is>
      </c>
      <c r="B75" t="inlineStr">
        <is>
          <t>~400–450</t>
        </is>
      </c>
      <c r="C75" t="inlineStr">
        <is>
          <t>USD/t steel</t>
        </is>
      </c>
      <c r="D75" t="inlineStr">
        <is>
          <t>coking coal 0.75 t×$190–220 + ore + conversion</t>
        </is>
      </c>
      <c r="E75" t="inlineStr">
        <is>
          <t>BLOCK B; Fitch 2026</t>
        </is>
      </c>
      <c r="F75" t="inlineStr">
        <is>
          <t>MEDIUM</t>
        </is>
      </c>
    </row>
    <row r="76">
      <c r="A76" t="inlineStr">
        <is>
          <t>Switch-payoff gap π (now)</t>
        </is>
      </c>
      <c r="B76" t="inlineStr">
        <is>
          <t>~ −150 to −350</t>
        </is>
      </c>
      <c r="C76" t="inlineStr">
        <is>
          <t>USD/t steel</t>
        </is>
      </c>
      <c r="D76" t="inlineStr">
        <is>
          <t>π = OPEX_BF − OPEX_H2DRI &lt; 0 today; turns + as p_H2 declines</t>
        </is>
      </c>
      <c r="E76" t="inlineStr">
        <is>
          <t>CAP derivation</t>
        </is>
      </c>
      <c r="F76" t="inlineStr">
        <is>
          <t>MEDIUM</t>
        </is>
      </c>
    </row>
    <row r="77">
      <c r="A77" t="inlineStr">
        <is>
          <t>H2 share of gap</t>
        </is>
      </c>
      <c r="B77" t="inlineStr">
        <is>
          <t>~60–65</t>
        </is>
      </c>
      <c r="C77" t="inlineStr">
        <is>
          <t>% of gap</t>
        </is>
      </c>
      <c r="D77" t="inlineStr">
        <is>
          <t>H2 reductant cost dominates the cost delta</t>
        </is>
      </c>
      <c r="E77" t="inlineStr">
        <is>
          <t>BLOCK B intensity</t>
        </is>
      </c>
      <c r="F77" t="inlineStr">
        <is>
          <t>MEDIUM</t>
        </is>
      </c>
    </row>
    <row r="78">
      <c r="A78" t="inlineStr">
        <is>
          <t>Breakeven p_H2 (gap→0, reline-timed)</t>
        </is>
      </c>
      <c r="B78" t="inlineStr">
        <is>
          <t>~$1.7–3.2/kg</t>
        </is>
      </c>
      <c r="C78" t="inlineStr">
        <is>
          <t>USD/kg H2</t>
        </is>
      </c>
      <c r="D78" t="inlineStr">
        <is>
          <t>p_H2 at which H2-DRI all-in ≈ BF-BOF; midpt ~$2/kg</t>
        </is>
      </c>
      <c r="E78" t="inlineStr">
        <is>
          <t>CAP derivation; lit parity ~$1.5–2/kg</t>
        </is>
      </c>
      <c r="F78" t="inlineStr">
        <is>
          <t>MEDIUM</t>
        </is>
      </c>
    </row>
    <row r="79">
      <c r="A79" t="inlineStr">
        <is>
          <t>H2 price gap policy must close</t>
        </is>
      </c>
      <c r="B79" t="inlineStr">
        <is>
          <t>~$3.5–4/kg ≈ ~$210–260/t ≈ ~$0.85–1.0 bn/yr per 4 Mt asset</t>
        </is>
      </c>
      <c r="C79" t="inlineStr">
        <is>
          <t>USD</t>
        </is>
      </c>
      <c r="D79" t="inlineStr">
        <is>
          <t>(p_now $5.5 − p_breakeven $2)×60 kg/t × 4 Mt</t>
        </is>
      </c>
      <c r="E79" t="inlineStr">
        <is>
          <t>CAP derivation; matches POSCO ₩20T / JOGMEC ¥3T scale</t>
        </is>
      </c>
      <c r="F79" t="inlineStr">
        <is>
          <t>MEDIUM</t>
        </is>
      </c>
    </row>
    <row r="80">
      <c r="A80" s="29" t="inlineStr">
        <is>
          <t>— CHANNEL REQUIREMENTS —</t>
        </is>
      </c>
    </row>
    <row r="81">
      <c r="A81" s="29" t="inlineStr">
        <is>
          <t>Channel</t>
        </is>
      </c>
      <c r="B81" s="29" t="inlineStr">
        <is>
          <t>Instrument</t>
        </is>
      </c>
      <c r="C81" s="29" t="inlineStr">
        <is>
          <t>Model action</t>
        </is>
      </c>
      <c r="D81" s="29" t="inlineStr">
        <is>
          <t>Calibrated requirement to close gap</t>
        </is>
      </c>
      <c r="E81" s="29" t="inlineStr">
        <is>
          <t>KR/JP 2026 status (fresh)</t>
        </is>
      </c>
      <c r="F81" s="29" t="inlineStr">
        <is>
          <t>Confidence</t>
        </is>
      </c>
    </row>
    <row r="82">
      <c r="A82" t="inlineStr">
        <is>
          <t>C1 strike↓</t>
        </is>
      </c>
      <c r="B82" t="inlineStr">
        <is>
          <t>CAPEX grant (share s_K)</t>
        </is>
      </c>
      <c r="C82" t="inlineStr">
        <is>
          <t>K_inc → $620·(1−s_K)</t>
        </is>
      </c>
      <c r="D82" t="inlineStr">
        <is>
          <t>s_K ~0.30–0.50 → eff. strike ~$310–435/t. NB reline timing alone ≈ 32% implicit grant ($200/$620)</t>
        </is>
      </c>
      <c r="E82" t="inlineStr">
        <is>
          <t>DE Salzgitter total €1.3bn (+€322M Feb-26); JP GX NSC $1.75bn/JFE $690M (scrap-EAF, not H2-DRI); KR HyREX direct ~₩26.9B ≪1%</t>
        </is>
      </c>
      <c r="F82" t="inlineStr">
        <is>
          <t>HIGH(instr)/MED(calib)</t>
        </is>
      </c>
    </row>
    <row r="83">
      <c r="A83" t="inlineStr">
        <is>
          <t>C2 level↑ &amp; σ↓ (PRIMARY)</t>
        </is>
      </c>
      <c r="B83" t="inlineStr">
        <is>
          <t>Long-term H2/power price contract / CfD</t>
        </is>
      </c>
      <c r="C83" t="inlineStr">
        <is>
          <t>p_H2→p_contract; removes σ_H2 &amp; ρ term</t>
        </is>
      </c>
      <c r="D83" t="inlineStr">
        <is>
          <t>Contract H2 ~$2/kg (close ~$3.5–4/kg gap). Cuts combined cost-driver σ from ~46% to ~20% (see σ-note)</t>
        </is>
      </c>
      <c r="E83" t="inlineStr">
        <is>
          <t>JP JOGMEC ¥3T price-gap CfD 15yr — first intl awards Mar-26 (JERA/Mitsui ammonia, ~$6.8bn/35%); KR CHPS 2026 auction 500 GWh clean (−28% YoY), ≤4 kgCO2/kgH2, bids H2-26</t>
        </is>
      </c>
      <c r="F83" t="inlineStr">
        <is>
          <t>HIGH(instr)/MED(calib)</t>
        </is>
      </c>
    </row>
    <row r="84">
      <c r="A84" t="inlineStr">
        <is>
          <t>C3 carbon floor</t>
        </is>
      </c>
      <c r="B84" t="inlineStr">
        <is>
          <t>Carbon CfD (synthetic price)</t>
        </is>
      </c>
      <c r="C84" t="inlineStr">
        <is>
          <t>c(t)→max(c, c_strike); adds c_strike×1.9 tCO2/t</t>
        </is>
      </c>
      <c r="D84" t="inlineStr">
        <is>
          <t>c_strike ~$110–140/tCO2 to close gap ALONE — ≫ KR/JP realized</t>
        </is>
      </c>
      <c r="E84" t="inlineStr">
        <is>
          <t>DE CCfD R2 €5–6bn 15yr; KR-ETS Ph4 KAU→~$15 (2x), K-MSR+auction↑; JP GX-ETS Ph2 mandatory FY26, bands ¥4–6k (~$27–40) by 2027 → channel reviving but free-alloc-muted</t>
        </is>
      </c>
      <c r="F84" t="inlineStr">
        <is>
          <t>HIGH(instr)/MED(calib)</t>
        </is>
      </c>
    </row>
    <row r="85">
      <c r="A85" t="inlineStr">
        <is>
          <t>C4 r↓</t>
        </is>
      </c>
      <c r="B85" t="inlineStr">
        <is>
          <t>Green bond / guarantee / blended</t>
        </is>
      </c>
      <c r="C85" t="inlineStr">
        <is>
          <t>r → r−Δr; raises PV of π stream &amp; strike</t>
        </is>
      </c>
      <c r="D85" t="inlineStr">
        <is>
          <t>KR Δr ~3–4 pts (8%→4–5%) ≈ +~⅓ PV uplift on 20-yr stream; JP marginal (already ~3–4%)</t>
        </is>
      </c>
      <c r="E85" t="inlineStr">
        <is>
          <t>JP GX transition bonds ~¥4.2T issued by Mar-26; POSCO green bond/SLL/MDB-ECA; H2GS project-finance lessons (RMI)</t>
        </is>
      </c>
      <c r="F85" t="inlineStr">
        <is>
          <t>MEDIUM</t>
        </is>
      </c>
    </row>
    <row r="86">
      <c r="A86" s="29" t="inlineStr">
        <is>
          <t>LEAST-COST MIX (Phase-1 read)</t>
        </is>
      </c>
      <c r="B86" s="29" t="inlineStr">
        <is>
          <t>—</t>
        </is>
      </c>
      <c r="C86" s="29" t="inlineStr">
        <is>
          <t>—</t>
        </is>
      </c>
      <c r="D86" s="29" t="inlineStr">
        <is>
          <t>KR/JP near-term: C2 (H2/power contract — H2 is 60–65% of gap &amp; σ/ρ compression) + C1 (reline-timed grant for strike) + C4 (KR only). C3 reserved until KR-ETS Ph4/GX-ETS Ph2 build credible carbon price (robustness scenario).</t>
        </is>
      </c>
      <c r="E86" s="29" t="inlineStr">
        <is>
          <t>Day-5 synthesis 2026-06-19</t>
        </is>
      </c>
      <c r="F86" s="29" t="inlineStr">
        <is>
          <t>MEDIUM</t>
        </is>
      </c>
    </row>
    <row r="87">
      <c r="A87" s="29" t="inlineStr">
        <is>
          <t>σ-COMPRESSION (formula v0.6)</t>
        </is>
      </c>
      <c r="B87" s="29" t="inlineStr">
        <is>
          <t>—</t>
        </is>
      </c>
      <c r="C87" s="29" t="inlineStr">
        <is>
          <t>—</t>
        </is>
      </c>
      <c r="D87" s="29" t="inlineStr">
        <is>
          <t>Combined cost-driver σ = sqrt(σ_H2²+σ_elec²+2ρσ_H2σ_elec). At σ_H2=.30,σ_elec=.20,ρ=.70 → ~0.46. C2 H2-contract sets σ_H2→0 AND kills cross-term → ~0.20. &gt;½ cut, super-additive via ρ=0.70. Static LCOA ladder cannot price this — the model's net contribution.</t>
        </is>
      </c>
      <c r="E87" s="29" t="inlineStr">
        <is>
          <t>Dixit-Pindyck #201; LSM #198; Day-4 BLOCK F</t>
        </is>
      </c>
      <c r="F87" s="29"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2026-04-13T15:30:46Z</dcterms:created>
  <dcterms:modified xmlns:dcterms="http://purl.org/dc/terms/" xmlns:xsi="http://www.w3.org/2001/XMLSchema-instance" xsi:type="dcterms:W3CDTF">2026-06-29T01:22:33Z</dcterms:modified>
  <cp:lastModifiedBy>Jinsu Park</cp:lastModifiedBy>
  <cp:revision>0</cp:revision>
</cp:coreProperties>
</file>